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/>
  </mc:AlternateContent>
  <xr:revisionPtr revIDLastSave="0" documentId="13_ncr:1_{A9E8F09B-025F-C044-A770-A7C2BD8E6C91}" xr6:coauthVersionLast="46" xr6:coauthVersionMax="46" xr10:uidLastSave="{00000000-0000-0000-0000-000000000000}"/>
  <bookViews>
    <workbookView xWindow="3140" yWindow="9200" windowWidth="34440" windowHeight="17440" xr2:uid="{C42617FE-DC3A-0C45-A9D2-D83040AB2652}"/>
  </bookViews>
  <sheets>
    <sheet name="Pre-Abx" sheetId="1" r:id="rId1"/>
    <sheet name="Pre-Inf" sheetId="2" r:id="rId2"/>
    <sheet name="Day 0.5" sheetId="3" r:id="rId3"/>
    <sheet name="Day 1" sheetId="4" r:id="rId4"/>
    <sheet name="Day 3" sheetId="5" r:id="rId5"/>
    <sheet name="Biometrics" sheetId="6" r:id="rId6"/>
    <sheet name="Inocul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4" l="1"/>
  <c r="K6" i="5"/>
  <c r="K7" i="5"/>
  <c r="K8" i="5"/>
  <c r="J6" i="5"/>
  <c r="J7" i="5"/>
  <c r="J8" i="5"/>
  <c r="J4" i="5"/>
  <c r="K4" i="5"/>
  <c r="K5" i="3"/>
  <c r="K6" i="3"/>
  <c r="K7" i="3"/>
  <c r="K8" i="3"/>
  <c r="J5" i="3"/>
  <c r="J6" i="3"/>
  <c r="J7" i="3"/>
  <c r="J8" i="3"/>
  <c r="K4" i="3"/>
  <c r="J4" i="3"/>
  <c r="I4" i="3"/>
  <c r="L8" i="3"/>
  <c r="L7" i="3"/>
  <c r="L6" i="3"/>
  <c r="M7" i="4"/>
  <c r="M6" i="4"/>
  <c r="T16" i="4"/>
  <c r="T15" i="4"/>
  <c r="L8" i="5"/>
  <c r="L7" i="5"/>
  <c r="L6" i="5"/>
  <c r="H6" i="5"/>
  <c r="I6" i="5" s="1"/>
  <c r="H7" i="5"/>
  <c r="I7" i="5" s="1"/>
  <c r="H8" i="5"/>
  <c r="H4" i="5"/>
  <c r="I6" i="3"/>
  <c r="I7" i="3"/>
  <c r="I8" i="3"/>
  <c r="H5" i="3"/>
  <c r="I5" i="3" s="1"/>
  <c r="H6" i="3"/>
  <c r="H7" i="3"/>
  <c r="H8" i="3"/>
  <c r="H4" i="3"/>
  <c r="I4" i="1"/>
  <c r="H5" i="1"/>
  <c r="I5" i="1" s="1"/>
  <c r="H6" i="1"/>
  <c r="I6" i="1" s="1"/>
  <c r="H7" i="1"/>
  <c r="I7" i="1" s="1"/>
  <c r="H8" i="1"/>
  <c r="I8" i="1" s="1"/>
  <c r="H4" i="1"/>
  <c r="N14" i="4"/>
  <c r="N15" i="4"/>
  <c r="N16" i="4"/>
  <c r="N13" i="4"/>
  <c r="H5" i="4"/>
  <c r="H6" i="4"/>
  <c r="H7" i="4"/>
  <c r="H4" i="4"/>
  <c r="D6" i="5"/>
  <c r="D7" i="5"/>
  <c r="D8" i="5"/>
  <c r="I8" i="5" s="1"/>
  <c r="D4" i="5"/>
  <c r="I4" i="5" s="1"/>
  <c r="D5" i="4"/>
  <c r="D6" i="4"/>
  <c r="D7" i="4"/>
  <c r="D4" i="4"/>
  <c r="D14" i="4"/>
  <c r="D15" i="4"/>
  <c r="D16" i="4"/>
  <c r="D13" i="4"/>
  <c r="H13" i="4" s="1"/>
  <c r="E16" i="4"/>
  <c r="E14" i="4"/>
  <c r="D5" i="3"/>
  <c r="D6" i="3"/>
  <c r="D7" i="3"/>
  <c r="D8" i="3"/>
  <c r="D4" i="3"/>
  <c r="H14" i="2"/>
  <c r="H15" i="2"/>
  <c r="H16" i="2"/>
  <c r="H17" i="2"/>
  <c r="H13" i="2"/>
  <c r="D14" i="2"/>
  <c r="D15" i="2"/>
  <c r="D16" i="2"/>
  <c r="D17" i="2"/>
  <c r="D13" i="2"/>
  <c r="D5" i="2"/>
  <c r="D6" i="2"/>
  <c r="D7" i="2"/>
  <c r="D8" i="2"/>
  <c r="D4" i="2"/>
  <c r="E5" i="7"/>
  <c r="E4" i="7"/>
  <c r="D5" i="1"/>
  <c r="D6" i="1"/>
  <c r="D7" i="1"/>
  <c r="D8" i="1"/>
  <c r="D4" i="1"/>
  <c r="B9" i="6"/>
  <c r="C9" i="6"/>
  <c r="D9" i="6"/>
  <c r="E9" i="6"/>
  <c r="F9" i="6"/>
  <c r="B10" i="6"/>
  <c r="C10" i="6"/>
  <c r="D10" i="6"/>
  <c r="E10" i="6"/>
  <c r="F10" i="6"/>
  <c r="F8" i="6"/>
  <c r="E8" i="6"/>
  <c r="D8" i="6"/>
  <c r="C8" i="6"/>
  <c r="B8" i="6"/>
  <c r="P13" i="4" l="1"/>
  <c r="Q13" i="4"/>
  <c r="I7" i="4"/>
  <c r="J7" i="4" s="1"/>
  <c r="O16" i="4"/>
  <c r="Q16" i="4" s="1"/>
  <c r="O15" i="4"/>
  <c r="Q15" i="4" s="1"/>
  <c r="I6" i="4"/>
  <c r="J6" i="4" s="1"/>
  <c r="O13" i="4"/>
  <c r="T18" i="4"/>
  <c r="H14" i="4"/>
  <c r="O14" i="4"/>
  <c r="Q14" i="4" s="1"/>
  <c r="I5" i="4"/>
  <c r="J5" i="4" s="1"/>
  <c r="H16" i="4"/>
  <c r="H15" i="4"/>
  <c r="I4" i="4"/>
  <c r="K6" i="4" l="1"/>
  <c r="P14" i="4"/>
  <c r="K4" i="4"/>
  <c r="J4" i="4"/>
  <c r="K5" i="4"/>
  <c r="P15" i="4"/>
  <c r="R18" i="4" s="1"/>
  <c r="P16" i="4"/>
  <c r="K7" i="4"/>
</calcChain>
</file>

<file path=xl/sharedStrings.xml><?xml version="1.0" encoding="utf-8"?>
<sst xmlns="http://schemas.openxmlformats.org/spreadsheetml/2006/main" count="104" uniqueCount="34">
  <si>
    <t>Pre</t>
  </si>
  <si>
    <t>Post</t>
  </si>
  <si>
    <t>Delta</t>
  </si>
  <si>
    <t>qPCR pellet</t>
  </si>
  <si>
    <t>CFU pellet</t>
  </si>
  <si>
    <t>Diarrhea</t>
  </si>
  <si>
    <t>Weight</t>
  </si>
  <si>
    <t>ST1-75</t>
  </si>
  <si>
    <t>VPI</t>
  </si>
  <si>
    <t>mix</t>
  </si>
  <si>
    <t>relweight</t>
  </si>
  <si>
    <t>strain</t>
  </si>
  <si>
    <t>count</t>
  </si>
  <si>
    <t>dilution</t>
  </si>
  <si>
    <t>CFU/mouse</t>
  </si>
  <si>
    <t>Dilution</t>
  </si>
  <si>
    <t>x50</t>
  </si>
  <si>
    <t>CFU/g</t>
  </si>
  <si>
    <t>Counts</t>
  </si>
  <si>
    <t>CNC</t>
  </si>
  <si>
    <t>Count</t>
  </si>
  <si>
    <t>ST1-75 primers</t>
  </si>
  <si>
    <t>VPI primers</t>
  </si>
  <si>
    <t>Sum</t>
  </si>
  <si>
    <t>mean quantity</t>
  </si>
  <si>
    <t>50 ul total elution vol</t>
  </si>
  <si>
    <t>2 ul rxn vol</t>
  </si>
  <si>
    <t>2ul rxn vol</t>
  </si>
  <si>
    <t>Ratio ST1-75/VPI</t>
  </si>
  <si>
    <t>genomic copies/g feces</t>
  </si>
  <si>
    <t>st1-75</t>
  </si>
  <si>
    <t>vpi</t>
  </si>
  <si>
    <t>fraction of total genomic copies/g feces</t>
  </si>
  <si>
    <t>averaged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</si>
</sst>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D066-A09C-0641-88E5-C6A4C7E1399F}">
  <dimension ref="A2:I8"/>
  <sheetViews>
    <sheetView tabSelected="1" workbookViewId="0">
      <selection activeCell="F28" sqref="F28"/>
    </sheetView>
  </sheetViews>
  <sheetFormatPr baseColWidth="10" defaultRowHeight="16" x14ac:dyDescent="0.2"/>
  <cols>
    <col min="1" max="5" width="10.83203125" style="1"/>
    <col min="6" max="6" width="13.6640625" style="1" bestFit="1" customWidth="1"/>
    <col min="7" max="8" width="10.83203125" style="1"/>
    <col min="9" max="9" width="18.6640625" style="1" bestFit="1" customWidth="1"/>
    <col min="10" max="16384" width="10.83203125" style="1"/>
  </cols>
  <sheetData>
    <row r="2" spans="1:9" x14ac:dyDescent="0.2">
      <c r="F2" s="10" t="s">
        <v>24</v>
      </c>
      <c r="G2" s="10"/>
      <c r="H2" s="6"/>
      <c r="I2" s="6" t="s">
        <v>25</v>
      </c>
    </row>
    <row r="3" spans="1:9" x14ac:dyDescent="0.2">
      <c r="B3" s="1" t="s">
        <v>0</v>
      </c>
      <c r="C3" s="1" t="s">
        <v>1</v>
      </c>
      <c r="D3" s="1" t="s">
        <v>2</v>
      </c>
      <c r="F3" s="6" t="s">
        <v>21</v>
      </c>
      <c r="G3" s="6" t="s">
        <v>22</v>
      </c>
      <c r="H3" s="6" t="s">
        <v>23</v>
      </c>
      <c r="I3" s="6" t="s">
        <v>26</v>
      </c>
    </row>
    <row r="4" spans="1:9" x14ac:dyDescent="0.2">
      <c r="A4" s="1">
        <v>1</v>
      </c>
      <c r="B4" s="6">
        <v>1.0389999999999999</v>
      </c>
      <c r="C4" s="6">
        <v>1.069</v>
      </c>
      <c r="D4" s="6">
        <f>C4-B4</f>
        <v>3.0000000000000027E-2</v>
      </c>
      <c r="F4" s="6">
        <v>0</v>
      </c>
      <c r="G4" s="6">
        <v>2687.623291015625</v>
      </c>
      <c r="H4" s="6">
        <f>SUM(F4:G4)</f>
        <v>2687.623291015625</v>
      </c>
      <c r="I4" s="5">
        <f>((50/2)*H4)/D4</f>
        <v>2239686.0758463521</v>
      </c>
    </row>
    <row r="5" spans="1:9" x14ac:dyDescent="0.2">
      <c r="A5" s="1">
        <v>2</v>
      </c>
      <c r="B5" s="6">
        <v>1.0369999999999999</v>
      </c>
      <c r="C5" s="6">
        <v>1.071</v>
      </c>
      <c r="D5" s="6">
        <f t="shared" ref="D5:D8" si="0">C5-B5</f>
        <v>3.400000000000003E-2</v>
      </c>
      <c r="F5" s="6">
        <v>0</v>
      </c>
      <c r="G5" s="6">
        <v>12005.3408203125</v>
      </c>
      <c r="H5" s="6">
        <f t="shared" ref="H5:H8" si="1">SUM(F5:G5)</f>
        <v>12005.3408203125</v>
      </c>
      <c r="I5" s="5">
        <f t="shared" ref="I5:I8" si="2">((50/2)*H5)/D5</f>
        <v>8827456.4855238888</v>
      </c>
    </row>
    <row r="6" spans="1:9" x14ac:dyDescent="0.2">
      <c r="A6" s="1">
        <v>3</v>
      </c>
      <c r="B6" s="6">
        <v>1.0329999999999999</v>
      </c>
      <c r="C6" s="6">
        <v>1.0720000000000001</v>
      </c>
      <c r="D6" s="6">
        <f t="shared" si="0"/>
        <v>3.9000000000000146E-2</v>
      </c>
      <c r="F6" s="6">
        <v>0</v>
      </c>
      <c r="G6" s="6">
        <v>1206.9410400390625</v>
      </c>
      <c r="H6" s="6">
        <f t="shared" si="1"/>
        <v>1206.9410400390625</v>
      </c>
      <c r="I6" s="5">
        <f t="shared" si="2"/>
        <v>773680.15387119097</v>
      </c>
    </row>
    <row r="7" spans="1:9" x14ac:dyDescent="0.2">
      <c r="A7" s="1">
        <v>4</v>
      </c>
      <c r="B7" s="6">
        <v>1.032</v>
      </c>
      <c r="C7" s="6">
        <v>1.0660000000000001</v>
      </c>
      <c r="D7" s="6">
        <f t="shared" si="0"/>
        <v>3.400000000000003E-2</v>
      </c>
      <c r="F7" s="6">
        <v>0</v>
      </c>
      <c r="G7" s="6">
        <v>387.57461547851562</v>
      </c>
      <c r="H7" s="6">
        <f t="shared" si="1"/>
        <v>387.57461547851562</v>
      </c>
      <c r="I7" s="5">
        <f t="shared" si="2"/>
        <v>284981.33491067297</v>
      </c>
    </row>
    <row r="8" spans="1:9" x14ac:dyDescent="0.2">
      <c r="A8" s="1">
        <v>5</v>
      </c>
      <c r="B8" s="6">
        <v>1.03</v>
      </c>
      <c r="C8" s="6">
        <v>1.083</v>
      </c>
      <c r="D8" s="6">
        <f t="shared" si="0"/>
        <v>5.2999999999999936E-2</v>
      </c>
      <c r="F8" s="6">
        <v>0</v>
      </c>
      <c r="G8" s="6">
        <v>880.76300048828125</v>
      </c>
      <c r="H8" s="6">
        <f t="shared" si="1"/>
        <v>880.76300048828125</v>
      </c>
      <c r="I8" s="5">
        <f t="shared" si="2"/>
        <v>415454.24551334069</v>
      </c>
    </row>
  </sheetData>
  <mergeCells count="1">
    <mergeCell ref="F2:G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FAAE-6DA2-884D-8D87-D1A6B8B71E52}">
  <sheetPr>
    <pageSetUpPr fitToPage="1"/>
  </sheetPr>
  <dimension ref="A2:I17"/>
  <sheetViews>
    <sheetView workbookViewId="0">
      <selection activeCell="E32" sqref="E32"/>
    </sheetView>
  </sheetViews>
  <sheetFormatPr baseColWidth="10" defaultRowHeight="16" x14ac:dyDescent="0.2"/>
  <cols>
    <col min="1" max="5" width="10.83203125" style="1"/>
    <col min="6" max="6" width="13.6640625" style="1" bestFit="1" customWidth="1"/>
    <col min="7" max="8" width="10.83203125" style="1"/>
    <col min="9" max="9" width="18.6640625" style="1" bestFit="1" customWidth="1"/>
    <col min="10" max="16384" width="10.83203125" style="1"/>
  </cols>
  <sheetData>
    <row r="2" spans="1:9" x14ac:dyDescent="0.2">
      <c r="F2" s="11" t="s">
        <v>24</v>
      </c>
      <c r="G2" s="11"/>
      <c r="H2" s="7"/>
      <c r="I2" s="7" t="s">
        <v>25</v>
      </c>
    </row>
    <row r="3" spans="1:9" x14ac:dyDescent="0.2">
      <c r="A3" s="1" t="s">
        <v>3</v>
      </c>
      <c r="B3" s="1" t="s">
        <v>0</v>
      </c>
      <c r="C3" s="1" t="s">
        <v>1</v>
      </c>
      <c r="D3" s="1" t="s">
        <v>2</v>
      </c>
      <c r="F3" s="2" t="s">
        <v>21</v>
      </c>
      <c r="G3" s="2" t="s">
        <v>22</v>
      </c>
      <c r="H3" s="2" t="s">
        <v>23</v>
      </c>
      <c r="I3" s="2" t="s">
        <v>26</v>
      </c>
    </row>
    <row r="4" spans="1:9" x14ac:dyDescent="0.2">
      <c r="A4" s="1">
        <v>1</v>
      </c>
      <c r="B4" s="2">
        <v>1.04</v>
      </c>
      <c r="C4" s="2">
        <v>1.0760000000000001</v>
      </c>
      <c r="D4" s="2">
        <f>C4-B4</f>
        <v>3.6000000000000032E-2</v>
      </c>
      <c r="F4" s="2">
        <v>0</v>
      </c>
      <c r="G4" s="2">
        <v>0</v>
      </c>
      <c r="H4" s="2"/>
      <c r="I4" s="2"/>
    </row>
    <row r="5" spans="1:9" x14ac:dyDescent="0.2">
      <c r="A5" s="1">
        <v>2</v>
      </c>
      <c r="B5" s="2">
        <v>1.0369999999999999</v>
      </c>
      <c r="C5" s="2">
        <v>1.0720000000000001</v>
      </c>
      <c r="D5" s="2">
        <f t="shared" ref="D5:D8" si="0">C5-B5</f>
        <v>3.5000000000000142E-2</v>
      </c>
      <c r="F5" s="2">
        <v>0</v>
      </c>
      <c r="G5" s="2">
        <v>0</v>
      </c>
      <c r="H5" s="2"/>
      <c r="I5" s="2"/>
    </row>
    <row r="6" spans="1:9" x14ac:dyDescent="0.2">
      <c r="A6" s="1">
        <v>3</v>
      </c>
      <c r="B6" s="2">
        <v>1.0409999999999999</v>
      </c>
      <c r="C6" s="2">
        <v>1.093</v>
      </c>
      <c r="D6" s="2">
        <f t="shared" si="0"/>
        <v>5.2000000000000046E-2</v>
      </c>
      <c r="F6" s="2">
        <v>0</v>
      </c>
      <c r="G6" s="2">
        <v>0</v>
      </c>
      <c r="H6" s="2"/>
      <c r="I6" s="2"/>
    </row>
    <row r="7" spans="1:9" x14ac:dyDescent="0.2">
      <c r="A7" s="1">
        <v>4</v>
      </c>
      <c r="B7" s="2">
        <v>1.0429999999999999</v>
      </c>
      <c r="C7" s="2">
        <v>1.073</v>
      </c>
      <c r="D7" s="2">
        <f t="shared" si="0"/>
        <v>3.0000000000000027E-2</v>
      </c>
      <c r="F7" s="2">
        <v>0</v>
      </c>
      <c r="G7" s="2">
        <v>0</v>
      </c>
      <c r="H7" s="2"/>
      <c r="I7" s="2"/>
    </row>
    <row r="8" spans="1:9" x14ac:dyDescent="0.2">
      <c r="A8" s="1">
        <v>5</v>
      </c>
      <c r="B8" s="2">
        <v>1.044</v>
      </c>
      <c r="C8" s="2">
        <v>1.1140000000000001</v>
      </c>
      <c r="D8" s="2">
        <f t="shared" si="0"/>
        <v>7.0000000000000062E-2</v>
      </c>
      <c r="F8" s="2">
        <v>0</v>
      </c>
      <c r="G8" s="2">
        <v>0</v>
      </c>
      <c r="H8" s="2"/>
      <c r="I8" s="2"/>
    </row>
    <row r="12" spans="1:9" x14ac:dyDescent="0.2">
      <c r="A12" s="1" t="s">
        <v>4</v>
      </c>
      <c r="B12" s="1" t="s">
        <v>0</v>
      </c>
      <c r="C12" s="1" t="s">
        <v>1</v>
      </c>
      <c r="D12" s="1" t="s">
        <v>2</v>
      </c>
      <c r="E12" s="1" t="s">
        <v>18</v>
      </c>
      <c r="F12" s="1" t="s">
        <v>15</v>
      </c>
      <c r="G12" s="1" t="s">
        <v>16</v>
      </c>
      <c r="H12" s="1" t="s">
        <v>17</v>
      </c>
    </row>
    <row r="13" spans="1:9" x14ac:dyDescent="0.2">
      <c r="A13" s="1">
        <v>1</v>
      </c>
      <c r="B13" s="2">
        <v>1.032</v>
      </c>
      <c r="C13" s="2">
        <v>1.0580000000000001</v>
      </c>
      <c r="D13" s="2">
        <f>C13-B13</f>
        <v>2.6000000000000023E-2</v>
      </c>
      <c r="E13" s="4">
        <v>0</v>
      </c>
      <c r="F13" s="4">
        <v>0</v>
      </c>
      <c r="G13" s="4">
        <v>50</v>
      </c>
      <c r="H13" s="2">
        <f>(E13*F13*G13)/D13</f>
        <v>0</v>
      </c>
    </row>
    <row r="14" spans="1:9" x14ac:dyDescent="0.2">
      <c r="A14" s="1">
        <v>2</v>
      </c>
      <c r="B14" s="2">
        <v>1.04</v>
      </c>
      <c r="C14" s="2">
        <v>1.0609999999999999</v>
      </c>
      <c r="D14" s="2">
        <f t="shared" ref="D14:D17" si="1">C14-B14</f>
        <v>2.0999999999999908E-2</v>
      </c>
      <c r="E14" s="4">
        <v>0</v>
      </c>
      <c r="F14" s="4">
        <v>0</v>
      </c>
      <c r="G14" s="4">
        <v>50</v>
      </c>
      <c r="H14" s="2">
        <f t="shared" ref="H14:H17" si="2">(E14*F14*G14)/D14</f>
        <v>0</v>
      </c>
    </row>
    <row r="15" spans="1:9" x14ac:dyDescent="0.2">
      <c r="A15" s="1">
        <v>3</v>
      </c>
      <c r="B15" s="2">
        <v>1.044</v>
      </c>
      <c r="C15" s="2">
        <v>1.1060000000000001</v>
      </c>
      <c r="D15" s="2">
        <f t="shared" si="1"/>
        <v>6.2000000000000055E-2</v>
      </c>
      <c r="E15" s="4">
        <v>0</v>
      </c>
      <c r="F15" s="4">
        <v>0</v>
      </c>
      <c r="G15" s="4">
        <v>50</v>
      </c>
      <c r="H15" s="2">
        <f t="shared" si="2"/>
        <v>0</v>
      </c>
    </row>
    <row r="16" spans="1:9" x14ac:dyDescent="0.2">
      <c r="A16" s="1">
        <v>4</v>
      </c>
      <c r="B16" s="2">
        <v>1.0369999999999999</v>
      </c>
      <c r="C16" s="2">
        <v>1.0649999999999999</v>
      </c>
      <c r="D16" s="2">
        <f t="shared" si="1"/>
        <v>2.8000000000000025E-2</v>
      </c>
      <c r="E16" s="4">
        <v>0</v>
      </c>
      <c r="F16" s="4">
        <v>0</v>
      </c>
      <c r="G16" s="4">
        <v>50</v>
      </c>
      <c r="H16" s="2">
        <f t="shared" si="2"/>
        <v>0</v>
      </c>
    </row>
    <row r="17" spans="1:8" x14ac:dyDescent="0.2">
      <c r="A17" s="1">
        <v>5</v>
      </c>
      <c r="B17" s="2">
        <v>1.038</v>
      </c>
      <c r="C17" s="2">
        <v>1.0660000000000001</v>
      </c>
      <c r="D17" s="2">
        <f t="shared" si="1"/>
        <v>2.8000000000000025E-2</v>
      </c>
      <c r="E17" s="4">
        <v>0</v>
      </c>
      <c r="F17" s="4">
        <v>0</v>
      </c>
      <c r="G17" s="4">
        <v>50</v>
      </c>
      <c r="H17" s="2">
        <f t="shared" si="2"/>
        <v>0</v>
      </c>
    </row>
  </sheetData>
  <mergeCells count="1">
    <mergeCell ref="F2:G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2A64-F06F-4041-87C6-718840D8B8F5}">
  <sheetPr>
    <pageSetUpPr fitToPage="1"/>
  </sheetPr>
  <dimension ref="A1:L8"/>
  <sheetViews>
    <sheetView workbookViewId="0">
      <selection activeCell="K6" sqref="K6:K8"/>
    </sheetView>
  </sheetViews>
  <sheetFormatPr baseColWidth="10" defaultRowHeight="16" x14ac:dyDescent="0.2"/>
  <cols>
    <col min="1" max="5" width="10.83203125" style="1"/>
    <col min="6" max="6" width="13.6640625" style="1" bestFit="1" customWidth="1"/>
    <col min="7" max="8" width="10.83203125" style="1"/>
    <col min="9" max="9" width="20.6640625" style="1" bestFit="1" customWidth="1"/>
    <col min="10" max="10" width="18.5" style="9" customWidth="1"/>
    <col min="11" max="11" width="19.1640625" style="9" customWidth="1"/>
    <col min="12" max="12" width="15.1640625" style="1" bestFit="1" customWidth="1"/>
    <col min="13" max="16384" width="10.83203125" style="1"/>
  </cols>
  <sheetData>
    <row r="1" spans="1:12" x14ac:dyDescent="0.2">
      <c r="I1" s="1" t="s">
        <v>29</v>
      </c>
      <c r="J1" s="12" t="s">
        <v>32</v>
      </c>
      <c r="K1" s="12"/>
    </row>
    <row r="2" spans="1:12" x14ac:dyDescent="0.2">
      <c r="F2" s="10" t="s">
        <v>24</v>
      </c>
      <c r="G2" s="10"/>
      <c r="H2" s="6"/>
      <c r="I2" s="6" t="s">
        <v>25</v>
      </c>
      <c r="J2" s="9" t="s">
        <v>30</v>
      </c>
      <c r="K2" s="9" t="s">
        <v>31</v>
      </c>
    </row>
    <row r="3" spans="1:12" x14ac:dyDescent="0.2">
      <c r="B3" s="1" t="s">
        <v>0</v>
      </c>
      <c r="C3" s="1" t="s">
        <v>1</v>
      </c>
      <c r="D3" s="1" t="s">
        <v>2</v>
      </c>
      <c r="F3" s="6" t="s">
        <v>21</v>
      </c>
      <c r="G3" s="6" t="s">
        <v>22</v>
      </c>
      <c r="H3" s="6" t="s">
        <v>23</v>
      </c>
      <c r="I3" s="6" t="s">
        <v>26</v>
      </c>
      <c r="J3" s="13"/>
      <c r="K3" s="13"/>
      <c r="L3" s="4" t="s">
        <v>28</v>
      </c>
    </row>
    <row r="4" spans="1:12" x14ac:dyDescent="0.2">
      <c r="A4" s="1">
        <v>1</v>
      </c>
      <c r="B4" s="6">
        <v>1.0369999999999999</v>
      </c>
      <c r="C4" s="6">
        <v>1.0900000000000001</v>
      </c>
      <c r="D4" s="6">
        <f>C4-B4</f>
        <v>5.3000000000000158E-2</v>
      </c>
      <c r="F4" s="6">
        <v>8016.9453125</v>
      </c>
      <c r="G4" s="6">
        <v>0</v>
      </c>
      <c r="H4" s="6">
        <f>SUM(F4:G4)</f>
        <v>8016.9453125</v>
      </c>
      <c r="I4" s="5">
        <f>((50/2)*H4)/D4</f>
        <v>3781577.9775943281</v>
      </c>
      <c r="J4" s="13">
        <f>100*((((50/2)*F4)/D4)/I4)</f>
        <v>100</v>
      </c>
      <c r="K4" s="13">
        <f>100*((((50/2)*G4)/D4)/I4)</f>
        <v>0</v>
      </c>
      <c r="L4" s="6"/>
    </row>
    <row r="5" spans="1:12" x14ac:dyDescent="0.2">
      <c r="A5" s="1">
        <v>2</v>
      </c>
      <c r="B5" s="6">
        <v>1.034</v>
      </c>
      <c r="C5" s="6">
        <v>1.091</v>
      </c>
      <c r="D5" s="6">
        <f t="shared" ref="D5:D8" si="0">C5-B5</f>
        <v>5.699999999999994E-2</v>
      </c>
      <c r="F5" s="6">
        <v>0</v>
      </c>
      <c r="G5" s="6">
        <v>5811.587890625</v>
      </c>
      <c r="H5" s="6">
        <f t="shared" ref="H5:H8" si="1">SUM(F5:G5)</f>
        <v>5811.587890625</v>
      </c>
      <c r="I5" s="5">
        <f t="shared" ref="I5:I8" si="2">((50/2)*H5)/D5</f>
        <v>2548942.0572916693</v>
      </c>
      <c r="J5" s="13">
        <f t="shared" ref="J5:J8" si="3">100*((((50/2)*F5)/D5)/I5)</f>
        <v>0</v>
      </c>
      <c r="K5" s="13">
        <f t="shared" ref="K5:K8" si="4">100*((((50/2)*G5)/D5)/I5)</f>
        <v>100</v>
      </c>
      <c r="L5" s="6"/>
    </row>
    <row r="6" spans="1:12" x14ac:dyDescent="0.2">
      <c r="A6" s="1">
        <v>3</v>
      </c>
      <c r="B6" s="6">
        <v>1.0369999999999999</v>
      </c>
      <c r="C6" s="6">
        <v>1.137</v>
      </c>
      <c r="D6" s="6">
        <f t="shared" si="0"/>
        <v>0.10000000000000009</v>
      </c>
      <c r="F6" s="6">
        <v>32266.650390625</v>
      </c>
      <c r="G6" s="6">
        <v>13865.1357421875</v>
      </c>
      <c r="H6" s="6">
        <f t="shared" si="1"/>
        <v>46131.7861328125</v>
      </c>
      <c r="I6" s="5">
        <f t="shared" si="2"/>
        <v>11532946.533203116</v>
      </c>
      <c r="J6" s="13">
        <f t="shared" si="3"/>
        <v>69.944507021102424</v>
      </c>
      <c r="K6" s="13">
        <f t="shared" si="4"/>
        <v>30.055492978897558</v>
      </c>
      <c r="L6" s="6">
        <f>F6/G6</f>
        <v>2.3271788311777679</v>
      </c>
    </row>
    <row r="7" spans="1:12" x14ac:dyDescent="0.2">
      <c r="A7" s="1">
        <v>4</v>
      </c>
      <c r="B7" s="6">
        <v>1.04</v>
      </c>
      <c r="C7" s="6">
        <v>1.133</v>
      </c>
      <c r="D7" s="6">
        <f t="shared" si="0"/>
        <v>9.2999999999999972E-2</v>
      </c>
      <c r="F7" s="6">
        <v>873.60430908203125</v>
      </c>
      <c r="G7" s="6">
        <v>1018.98388671875</v>
      </c>
      <c r="H7" s="6">
        <f t="shared" si="1"/>
        <v>1892.5881958007812</v>
      </c>
      <c r="I7" s="5">
        <f t="shared" si="2"/>
        <v>508760.26768838218</v>
      </c>
      <c r="J7" s="13">
        <f t="shared" si="3"/>
        <v>46.159239026237124</v>
      </c>
      <c r="K7" s="13">
        <f t="shared" si="4"/>
        <v>53.840760973762883</v>
      </c>
      <c r="L7" s="6">
        <f>F7/G7</f>
        <v>0.85732887484133002</v>
      </c>
    </row>
    <row r="8" spans="1:12" x14ac:dyDescent="0.2">
      <c r="A8" s="1">
        <v>5</v>
      </c>
      <c r="B8" s="6">
        <v>1.0309999999999999</v>
      </c>
      <c r="C8" s="6">
        <v>1.0820000000000001</v>
      </c>
      <c r="D8" s="6">
        <f t="shared" si="0"/>
        <v>5.1000000000000156E-2</v>
      </c>
      <c r="F8" s="6">
        <v>9389.78515625</v>
      </c>
      <c r="G8" s="6">
        <v>5520.33642578125</v>
      </c>
      <c r="H8" s="6">
        <f t="shared" si="1"/>
        <v>14910.12158203125</v>
      </c>
      <c r="I8" s="5">
        <f t="shared" si="2"/>
        <v>7308883.1284466684</v>
      </c>
      <c r="J8" s="13">
        <f t="shared" si="3"/>
        <v>62.975912735453377</v>
      </c>
      <c r="K8" s="13">
        <f t="shared" si="4"/>
        <v>37.02408726454663</v>
      </c>
      <c r="L8" s="6">
        <f>F8/G8</f>
        <v>1.7009443686072334</v>
      </c>
    </row>
  </sheetData>
  <mergeCells count="2">
    <mergeCell ref="F2:G2"/>
    <mergeCell ref="J1:K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9935-EA76-974D-98A0-131F13D69B4C}">
  <dimension ref="A2:U20"/>
  <sheetViews>
    <sheetView workbookViewId="0">
      <selection activeCell="S18" sqref="S18"/>
    </sheetView>
  </sheetViews>
  <sheetFormatPr baseColWidth="10" defaultRowHeight="16" x14ac:dyDescent="0.2"/>
  <cols>
    <col min="1" max="5" width="10.83203125" style="1"/>
    <col min="6" max="6" width="13.6640625" style="1" bestFit="1" customWidth="1"/>
    <col min="7" max="7" width="10.83203125" style="1"/>
    <col min="8" max="8" width="27" style="1" bestFit="1" customWidth="1"/>
    <col min="9" max="9" width="18.6640625" style="1" bestFit="1" customWidth="1"/>
    <col min="10" max="11" width="18.6640625" style="1" customWidth="1"/>
    <col min="12" max="12" width="13.6640625" style="1" bestFit="1" customWidth="1"/>
    <col min="13" max="13" width="15.1640625" style="1" bestFit="1" customWidth="1"/>
    <col min="14" max="14" width="10.83203125" style="1"/>
    <col min="15" max="15" width="18.6640625" style="1" bestFit="1" customWidth="1"/>
    <col min="16" max="17" width="10.83203125" style="13"/>
    <col min="18" max="19" width="10.83203125" style="1"/>
    <col min="20" max="20" width="15.1640625" style="1" bestFit="1" customWidth="1"/>
    <col min="21" max="16384" width="10.83203125" style="1"/>
  </cols>
  <sheetData>
    <row r="2" spans="1:20" x14ac:dyDescent="0.2">
      <c r="F2" s="10" t="s">
        <v>24</v>
      </c>
      <c r="G2" s="10"/>
      <c r="H2" s="2"/>
      <c r="I2" s="2" t="s">
        <v>25</v>
      </c>
      <c r="J2" s="12" t="s">
        <v>32</v>
      </c>
      <c r="K2" s="12"/>
    </row>
    <row r="3" spans="1:20" x14ac:dyDescent="0.2">
      <c r="A3" s="1" t="s">
        <v>3</v>
      </c>
      <c r="B3" s="1" t="s">
        <v>0</v>
      </c>
      <c r="C3" s="1" t="s">
        <v>1</v>
      </c>
      <c r="D3" s="1" t="s">
        <v>2</v>
      </c>
      <c r="F3" s="2" t="s">
        <v>21</v>
      </c>
      <c r="G3" s="2" t="s">
        <v>22</v>
      </c>
      <c r="H3" s="2" t="s">
        <v>23</v>
      </c>
      <c r="I3" s="2" t="s">
        <v>26</v>
      </c>
      <c r="J3" s="9" t="s">
        <v>30</v>
      </c>
      <c r="K3" s="9" t="s">
        <v>31</v>
      </c>
      <c r="M3" s="6" t="s">
        <v>28</v>
      </c>
    </row>
    <row r="4" spans="1:20" x14ac:dyDescent="0.2">
      <c r="A4" s="1">
        <v>1</v>
      </c>
      <c r="B4" s="2">
        <v>1.0389999999999999</v>
      </c>
      <c r="C4" s="2">
        <v>1.105</v>
      </c>
      <c r="D4" s="2">
        <f>C4-B4</f>
        <v>6.6000000000000059E-2</v>
      </c>
      <c r="F4" s="2">
        <v>25106.294921875</v>
      </c>
      <c r="G4" s="2">
        <v>0</v>
      </c>
      <c r="H4" s="2">
        <f>SUM(F4:G4)</f>
        <v>25106.294921875</v>
      </c>
      <c r="I4" s="5">
        <f>((50/2)*H4)/D4</f>
        <v>9509960.1976799164</v>
      </c>
      <c r="J4" s="13">
        <f>100*((((50/2)*F4)/D4)/I4)</f>
        <v>100</v>
      </c>
      <c r="K4" s="13">
        <f>100*((((50/2)*G4)/D4)/I4)</f>
        <v>0</v>
      </c>
      <c r="M4" s="6"/>
    </row>
    <row r="5" spans="1:20" x14ac:dyDescent="0.2">
      <c r="A5" s="1">
        <v>2</v>
      </c>
      <c r="B5" s="2">
        <v>1.0369999999999999</v>
      </c>
      <c r="C5" s="2">
        <v>1.117</v>
      </c>
      <c r="D5" s="2">
        <f t="shared" ref="D5:D7" si="0">C5-B5</f>
        <v>8.0000000000000071E-2</v>
      </c>
      <c r="F5" s="2">
        <v>0</v>
      </c>
      <c r="G5" s="2">
        <v>13199.0458984375</v>
      </c>
      <c r="H5" s="2">
        <f t="shared" ref="H5:H7" si="1">SUM(F5:G5)</f>
        <v>13199.0458984375</v>
      </c>
      <c r="I5" s="5">
        <f t="shared" ref="I5:I7" si="2">((50/2)*H5)/D5</f>
        <v>4124701.843261715</v>
      </c>
      <c r="J5" s="13">
        <f t="shared" ref="J5:J7" si="3">100*((((50/2)*F5)/D5)/I5)</f>
        <v>0</v>
      </c>
      <c r="K5" s="13">
        <f t="shared" ref="K5:K7" si="4">100*((((50/2)*G5)/D5)/I5)</f>
        <v>100</v>
      </c>
      <c r="M5" s="6"/>
    </row>
    <row r="6" spans="1:20" x14ac:dyDescent="0.2">
      <c r="A6" s="1">
        <v>3</v>
      </c>
      <c r="B6" s="2">
        <v>1.0349999999999999</v>
      </c>
      <c r="C6" s="2">
        <v>1.087</v>
      </c>
      <c r="D6" s="2">
        <f t="shared" si="0"/>
        <v>5.2000000000000046E-2</v>
      </c>
      <c r="F6" s="2">
        <v>58585.0625</v>
      </c>
      <c r="G6" s="2">
        <v>9612.65234375</v>
      </c>
      <c r="H6" s="2">
        <f t="shared" si="1"/>
        <v>68197.71484375</v>
      </c>
      <c r="I6" s="5">
        <f t="shared" si="2"/>
        <v>32787362.90564901</v>
      </c>
      <c r="J6" s="13">
        <f t="shared" si="3"/>
        <v>85.904729556153214</v>
      </c>
      <c r="K6" s="13">
        <f t="shared" si="4"/>
        <v>14.095270443846776</v>
      </c>
      <c r="M6" s="6">
        <f>F6/G6</f>
        <v>6.0945783125186166</v>
      </c>
    </row>
    <row r="7" spans="1:20" x14ac:dyDescent="0.2">
      <c r="A7" s="1">
        <v>4</v>
      </c>
      <c r="B7" s="2">
        <v>1.0349999999999999</v>
      </c>
      <c r="C7" s="2">
        <v>1.097</v>
      </c>
      <c r="D7" s="2">
        <f t="shared" si="0"/>
        <v>6.2000000000000055E-2</v>
      </c>
      <c r="F7" s="2">
        <v>17975.19140625</v>
      </c>
      <c r="G7" s="2">
        <v>7236.91796875</v>
      </c>
      <c r="H7" s="2">
        <f t="shared" si="1"/>
        <v>25212.109375</v>
      </c>
      <c r="I7" s="5">
        <f t="shared" si="2"/>
        <v>10166173.135080636</v>
      </c>
      <c r="J7" s="13">
        <f t="shared" si="3"/>
        <v>71.295864772322332</v>
      </c>
      <c r="K7" s="13">
        <f t="shared" si="4"/>
        <v>28.704135227677675</v>
      </c>
      <c r="M7" s="6">
        <f>F7/G7</f>
        <v>2.4838185929244094</v>
      </c>
    </row>
    <row r="8" spans="1:20" x14ac:dyDescent="0.2">
      <c r="A8" s="1">
        <v>5</v>
      </c>
      <c r="B8" s="2">
        <v>1.0349999999999999</v>
      </c>
      <c r="C8" s="2" t="s">
        <v>19</v>
      </c>
      <c r="D8" s="2"/>
      <c r="J8" s="13"/>
      <c r="K8" s="13"/>
    </row>
    <row r="11" spans="1:20" x14ac:dyDescent="0.2">
      <c r="L11" s="10" t="s">
        <v>24</v>
      </c>
      <c r="M11" s="10"/>
      <c r="N11" s="2"/>
      <c r="O11" s="2" t="s">
        <v>25</v>
      </c>
      <c r="P11" s="12" t="s">
        <v>32</v>
      </c>
      <c r="Q11" s="12"/>
    </row>
    <row r="12" spans="1:20" x14ac:dyDescent="0.2">
      <c r="A12" s="1" t="s">
        <v>4</v>
      </c>
      <c r="B12" s="1" t="s">
        <v>0</v>
      </c>
      <c r="C12" s="1" t="s">
        <v>1</v>
      </c>
      <c r="D12" s="1" t="s">
        <v>2</v>
      </c>
      <c r="E12" s="1" t="s">
        <v>20</v>
      </c>
      <c r="F12" s="1" t="s">
        <v>15</v>
      </c>
      <c r="G12" s="1" t="s">
        <v>16</v>
      </c>
      <c r="H12" s="1" t="s">
        <v>17</v>
      </c>
      <c r="L12" s="2" t="s">
        <v>21</v>
      </c>
      <c r="M12" s="2" t="s">
        <v>22</v>
      </c>
      <c r="N12" s="2" t="s">
        <v>23</v>
      </c>
      <c r="O12" s="2" t="s">
        <v>27</v>
      </c>
      <c r="P12" s="9" t="s">
        <v>30</v>
      </c>
      <c r="Q12" s="9" t="s">
        <v>31</v>
      </c>
      <c r="T12" s="1" t="s">
        <v>28</v>
      </c>
    </row>
    <row r="13" spans="1:20" x14ac:dyDescent="0.2">
      <c r="A13" s="1">
        <v>1</v>
      </c>
      <c r="B13" s="2">
        <v>1.0349999999999999</v>
      </c>
      <c r="C13" s="2">
        <v>1.0649999999999999</v>
      </c>
      <c r="D13" s="2">
        <f>C13-B13</f>
        <v>3.0000000000000027E-2</v>
      </c>
      <c r="E13" s="4">
        <v>32</v>
      </c>
      <c r="F13" s="2">
        <v>1000</v>
      </c>
      <c r="G13" s="2">
        <v>50</v>
      </c>
      <c r="H13" s="5">
        <f>(E13*F13*G13)/D13</f>
        <v>53333333.333333284</v>
      </c>
      <c r="L13" s="2">
        <v>62378.28125</v>
      </c>
      <c r="M13" s="2">
        <v>0</v>
      </c>
      <c r="N13" s="2">
        <f>SUM(L13:M13)</f>
        <v>62378.28125</v>
      </c>
      <c r="O13" s="5">
        <f>((50/2)*N13)/D13</f>
        <v>51981901.041666619</v>
      </c>
      <c r="P13" s="13">
        <f>100*((((50/2)*L13)/D13)/O13)</f>
        <v>100</v>
      </c>
      <c r="Q13" s="13">
        <f>100*((((50/2)*M13)/D13)/O13)</f>
        <v>0</v>
      </c>
    </row>
    <row r="14" spans="1:20" x14ac:dyDescent="0.2">
      <c r="A14" s="1">
        <v>2</v>
      </c>
      <c r="B14" s="2">
        <v>1.038</v>
      </c>
      <c r="C14" s="2">
        <v>1.097</v>
      </c>
      <c r="D14" s="2">
        <f t="shared" ref="D14:D16" si="5">C14-B14</f>
        <v>5.8999999999999941E-2</v>
      </c>
      <c r="E14" s="2">
        <f>AVERAGE(36,50)</f>
        <v>43</v>
      </c>
      <c r="F14" s="2">
        <v>1000</v>
      </c>
      <c r="G14" s="2">
        <v>50</v>
      </c>
      <c r="H14" s="5">
        <f t="shared" ref="H14:H16" si="6">(E14*F14*G14)/D14</f>
        <v>36440677.966101728</v>
      </c>
      <c r="L14" s="2">
        <v>0</v>
      </c>
      <c r="M14" s="2">
        <v>11936.3232421875</v>
      </c>
      <c r="N14" s="2">
        <f t="shared" ref="N14:N16" si="7">SUM(L14:M14)</f>
        <v>11936.3232421875</v>
      </c>
      <c r="O14" s="5">
        <f>((50/2)*N14)/D14</f>
        <v>5057764.0856726747</v>
      </c>
      <c r="P14" s="13">
        <f t="shared" ref="P14:P16" si="8">100*((((50/2)*L14)/D14)/O14)</f>
        <v>0</v>
      </c>
      <c r="Q14" s="13">
        <f t="shared" ref="Q14:Q16" si="9">100*((((50/2)*M14)/D14)/O14)</f>
        <v>100</v>
      </c>
    </row>
    <row r="15" spans="1:20" x14ac:dyDescent="0.2">
      <c r="A15" s="1">
        <v>3</v>
      </c>
      <c r="B15" s="2">
        <v>1.0409999999999999</v>
      </c>
      <c r="C15" s="2">
        <v>1.113</v>
      </c>
      <c r="D15" s="2">
        <f t="shared" si="5"/>
        <v>7.2000000000000064E-2</v>
      </c>
      <c r="E15" s="4">
        <v>14</v>
      </c>
      <c r="F15" s="2">
        <v>10000</v>
      </c>
      <c r="G15" s="2">
        <v>50</v>
      </c>
      <c r="H15" s="5">
        <f t="shared" si="6"/>
        <v>97222222.222222134</v>
      </c>
      <c r="L15" s="2">
        <v>98742.4921875</v>
      </c>
      <c r="M15" s="2">
        <v>11504.7939453125</v>
      </c>
      <c r="N15" s="2">
        <f t="shared" si="7"/>
        <v>110247.2861328125</v>
      </c>
      <c r="O15" s="5">
        <f>((50/2)*N15)/D15</f>
        <v>38280307.685004309</v>
      </c>
      <c r="P15" s="13">
        <f t="shared" si="8"/>
        <v>89.56455587355417</v>
      </c>
      <c r="Q15" s="13">
        <f t="shared" si="9"/>
        <v>10.435444126445821</v>
      </c>
      <c r="T15" s="1">
        <f>L15/M15</f>
        <v>8.5827258321068438</v>
      </c>
    </row>
    <row r="16" spans="1:20" x14ac:dyDescent="0.2">
      <c r="A16" s="1">
        <v>4</v>
      </c>
      <c r="B16" s="2">
        <v>1.042</v>
      </c>
      <c r="C16" s="2">
        <v>1.07</v>
      </c>
      <c r="D16" s="2">
        <f t="shared" si="5"/>
        <v>2.8000000000000025E-2</v>
      </c>
      <c r="E16" s="2">
        <f>AVERAGE(57,50)</f>
        <v>53.5</v>
      </c>
      <c r="F16" s="2">
        <v>1000</v>
      </c>
      <c r="G16" s="2">
        <v>50</v>
      </c>
      <c r="H16" s="5">
        <f t="shared" si="6"/>
        <v>95535714.285714194</v>
      </c>
      <c r="L16" s="2">
        <v>30890.162109375</v>
      </c>
      <c r="M16" s="2">
        <v>8816.7802734375</v>
      </c>
      <c r="N16" s="2">
        <f t="shared" si="7"/>
        <v>39706.9423828125</v>
      </c>
      <c r="O16" s="5">
        <f>((50/2)*N16)/D16</f>
        <v>35452627.127511129</v>
      </c>
      <c r="P16" s="13">
        <f t="shared" si="8"/>
        <v>77.795368405767945</v>
      </c>
      <c r="Q16" s="13">
        <f t="shared" si="9"/>
        <v>22.204631594232048</v>
      </c>
      <c r="T16" s="1">
        <f>L16/M16</f>
        <v>3.5035649240844124</v>
      </c>
    </row>
    <row r="17" spans="1:21" x14ac:dyDescent="0.2">
      <c r="A17" s="1">
        <v>5</v>
      </c>
      <c r="B17" s="2">
        <v>1.04</v>
      </c>
      <c r="C17" s="2" t="s">
        <v>19</v>
      </c>
      <c r="D17" s="2"/>
      <c r="E17" s="2"/>
      <c r="F17" s="2"/>
      <c r="G17" s="2"/>
      <c r="H17" s="2"/>
    </row>
    <row r="18" spans="1:21" x14ac:dyDescent="0.2">
      <c r="R18" s="14">
        <f>AVERAGE(P15:P16)</f>
        <v>83.679962139661058</v>
      </c>
      <c r="S18" s="14">
        <f>AVERAGE(Q15:Q16)</f>
        <v>16.320037860338935</v>
      </c>
      <c r="T18" s="8">
        <f>AVERAGE(T15:T16)</f>
        <v>6.0431453780956286</v>
      </c>
      <c r="U18" s="8" t="s">
        <v>33</v>
      </c>
    </row>
    <row r="20" spans="1:21" x14ac:dyDescent="0.2">
      <c r="R20" s="13"/>
    </row>
  </sheetData>
  <mergeCells count="4">
    <mergeCell ref="F2:G2"/>
    <mergeCell ref="L11:M11"/>
    <mergeCell ref="J2:K2"/>
    <mergeCell ref="P11:Q1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4C6B-86B5-364D-AE0B-07AB5E4FF6FF}">
  <sheetPr>
    <pageSetUpPr fitToPage="1"/>
  </sheetPr>
  <dimension ref="A2:L8"/>
  <sheetViews>
    <sheetView workbookViewId="0">
      <selection activeCell="J2" sqref="J2:K2"/>
    </sheetView>
  </sheetViews>
  <sheetFormatPr baseColWidth="10" defaultRowHeight="16" x14ac:dyDescent="0.2"/>
  <cols>
    <col min="1" max="5" width="10.83203125" style="1"/>
    <col min="6" max="6" width="13.6640625" style="1" bestFit="1" customWidth="1"/>
    <col min="7" max="8" width="10.83203125" style="1"/>
    <col min="9" max="9" width="18.6640625" style="1" bestFit="1" customWidth="1"/>
    <col min="10" max="10" width="18.6640625" style="1" customWidth="1"/>
    <col min="11" max="11" width="10.83203125" style="1"/>
    <col min="12" max="12" width="15.1640625" style="1" bestFit="1" customWidth="1"/>
    <col min="13" max="16384" width="10.83203125" style="1"/>
  </cols>
  <sheetData>
    <row r="2" spans="1:12" x14ac:dyDescent="0.2">
      <c r="F2" s="10" t="s">
        <v>24</v>
      </c>
      <c r="G2" s="10"/>
      <c r="H2" s="6"/>
      <c r="I2" s="6" t="s">
        <v>25</v>
      </c>
      <c r="J2" s="12" t="s">
        <v>32</v>
      </c>
      <c r="K2" s="12"/>
    </row>
    <row r="3" spans="1:12" x14ac:dyDescent="0.2">
      <c r="B3" s="1" t="s">
        <v>0</v>
      </c>
      <c r="C3" s="1" t="s">
        <v>1</v>
      </c>
      <c r="D3" s="1" t="s">
        <v>2</v>
      </c>
      <c r="F3" s="6" t="s">
        <v>21</v>
      </c>
      <c r="G3" s="6" t="s">
        <v>22</v>
      </c>
      <c r="H3" s="6" t="s">
        <v>23</v>
      </c>
      <c r="I3" s="6" t="s">
        <v>26</v>
      </c>
      <c r="J3" s="9" t="s">
        <v>30</v>
      </c>
      <c r="K3" s="9" t="s">
        <v>31</v>
      </c>
      <c r="L3" s="6" t="s">
        <v>28</v>
      </c>
    </row>
    <row r="4" spans="1:12" x14ac:dyDescent="0.2">
      <c r="A4" s="1">
        <v>1</v>
      </c>
      <c r="B4" s="6">
        <v>1.038</v>
      </c>
      <c r="C4" s="6">
        <v>1.0900000000000001</v>
      </c>
      <c r="D4" s="6">
        <f>C4-B4</f>
        <v>5.2000000000000046E-2</v>
      </c>
      <c r="F4" s="6">
        <v>42502.37109375</v>
      </c>
      <c r="G4" s="4">
        <v>0</v>
      </c>
      <c r="H4" s="6">
        <f>SUM(F4:G4)</f>
        <v>42502.37109375</v>
      </c>
      <c r="I4" s="5">
        <f>((50/2)*H4)/D4</f>
        <v>20433832.256610557</v>
      </c>
      <c r="J4" s="13">
        <f>100*((((50/2)*F4)/D4)/I4)</f>
        <v>100</v>
      </c>
      <c r="K4" s="13">
        <f>100*((((50/2)*G4)/D4)/I4)</f>
        <v>0</v>
      </c>
      <c r="L4" s="6"/>
    </row>
    <row r="5" spans="1:12" x14ac:dyDescent="0.2">
      <c r="A5" s="1">
        <v>2</v>
      </c>
      <c r="B5" s="6">
        <v>1.044</v>
      </c>
      <c r="C5" s="6" t="s">
        <v>19</v>
      </c>
      <c r="D5" s="6"/>
      <c r="F5" s="6"/>
      <c r="G5" s="6"/>
      <c r="H5" s="6"/>
      <c r="I5" s="5"/>
      <c r="J5" s="13"/>
      <c r="K5" s="13"/>
      <c r="L5" s="6"/>
    </row>
    <row r="6" spans="1:12" x14ac:dyDescent="0.2">
      <c r="A6" s="1">
        <v>3</v>
      </c>
      <c r="B6" s="6">
        <v>1.0409999999999999</v>
      </c>
      <c r="C6" s="6">
        <v>1.0960000000000001</v>
      </c>
      <c r="D6" s="6">
        <f t="shared" ref="D6:D8" si="0">C6-B6</f>
        <v>5.500000000000016E-2</v>
      </c>
      <c r="F6" s="6">
        <v>124809.7265625</v>
      </c>
      <c r="G6" s="6">
        <v>138.08834838867188</v>
      </c>
      <c r="H6" s="6">
        <f t="shared" ref="H6:H8" si="1">SUM(F6:G6)</f>
        <v>124947.81491088867</v>
      </c>
      <c r="I6" s="5">
        <f t="shared" ref="I6:I8" si="2">((50/2)*H6)/D6</f>
        <v>56794461.323131047</v>
      </c>
      <c r="J6" s="13">
        <f t="shared" ref="J5:J8" si="3">100*((((50/2)*F6)/D6)/I6)</f>
        <v>99.889483182649371</v>
      </c>
      <c r="K6" s="13">
        <f t="shared" ref="K5:K8" si="4">100*((((50/2)*G6)/D6)/I6)</f>
        <v>0.11051681735063144</v>
      </c>
      <c r="L6" s="6">
        <f>F6/G6</f>
        <v>903.83966510485698</v>
      </c>
    </row>
    <row r="7" spans="1:12" x14ac:dyDescent="0.2">
      <c r="A7" s="1">
        <v>4</v>
      </c>
      <c r="B7" s="6">
        <v>1.04</v>
      </c>
      <c r="C7" s="6">
        <v>1.123</v>
      </c>
      <c r="D7" s="6">
        <f t="shared" si="0"/>
        <v>8.2999999999999963E-2</v>
      </c>
      <c r="F7" s="6">
        <v>49572.56640625</v>
      </c>
      <c r="G7" s="6">
        <v>2.980027437210083</v>
      </c>
      <c r="H7" s="6">
        <f t="shared" si="1"/>
        <v>49575.54643368721</v>
      </c>
      <c r="I7" s="5">
        <f t="shared" si="2"/>
        <v>14932393.50412266</v>
      </c>
      <c r="J7" s="13">
        <f t="shared" si="3"/>
        <v>99.993988916609936</v>
      </c>
      <c r="K7" s="13">
        <f t="shared" si="4"/>
        <v>6.0110833900665116E-3</v>
      </c>
      <c r="L7" s="6">
        <f>F7/G7</f>
        <v>16634.936238258295</v>
      </c>
    </row>
    <row r="8" spans="1:12" x14ac:dyDescent="0.2">
      <c r="A8" s="1">
        <v>5</v>
      </c>
      <c r="B8" s="6">
        <v>1.038</v>
      </c>
      <c r="C8" s="6">
        <v>1.125</v>
      </c>
      <c r="D8" s="6">
        <f t="shared" si="0"/>
        <v>8.6999999999999966E-2</v>
      </c>
      <c r="F8" s="6">
        <v>64934.66796875</v>
      </c>
      <c r="G8" s="6">
        <v>16.297454833984375</v>
      </c>
      <c r="H8" s="6">
        <f t="shared" si="1"/>
        <v>64950.965423583984</v>
      </c>
      <c r="I8" s="5">
        <f t="shared" si="2"/>
        <v>18664070.524018392</v>
      </c>
      <c r="J8" s="13">
        <f t="shared" si="3"/>
        <v>99.974908063755962</v>
      </c>
      <c r="K8" s="13">
        <f t="shared" si="4"/>
        <v>2.5091936244055733E-2</v>
      </c>
      <c r="L8" s="6">
        <f>F8/G8</f>
        <v>3984.3440972969938</v>
      </c>
    </row>
  </sheetData>
  <mergeCells count="2">
    <mergeCell ref="F2:G2"/>
    <mergeCell ref="J2:K2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B826-2DA4-9446-911F-85453D58CB31}">
  <sheetPr>
    <pageSetUpPr fitToPage="1"/>
  </sheetPr>
  <dimension ref="A1:F18"/>
  <sheetViews>
    <sheetView workbookViewId="0">
      <selection activeCell="I8" sqref="I8"/>
    </sheetView>
  </sheetViews>
  <sheetFormatPr baseColWidth="10" defaultRowHeight="16" x14ac:dyDescent="0.2"/>
  <cols>
    <col min="1" max="1" width="10.83203125" style="1"/>
    <col min="2" max="6" width="15.83203125" style="1" customWidth="1"/>
    <col min="7" max="16384" width="10.83203125" style="1"/>
  </cols>
  <sheetData>
    <row r="1" spans="1:6" x14ac:dyDescent="0.2">
      <c r="B1" s="1" t="s">
        <v>7</v>
      </c>
      <c r="C1" s="1" t="s">
        <v>8</v>
      </c>
      <c r="D1" s="1" t="s">
        <v>9</v>
      </c>
      <c r="E1" s="1" t="s">
        <v>9</v>
      </c>
      <c r="F1" s="1" t="s">
        <v>9</v>
      </c>
    </row>
    <row r="2" spans="1:6" x14ac:dyDescent="0.2">
      <c r="A2" s="1" t="s">
        <v>6</v>
      </c>
      <c r="B2" s="1">
        <v>1</v>
      </c>
      <c r="C2" s="1">
        <v>2</v>
      </c>
      <c r="D2" s="1">
        <v>3</v>
      </c>
      <c r="E2" s="1">
        <v>4</v>
      </c>
      <c r="F2" s="1">
        <v>5</v>
      </c>
    </row>
    <row r="3" spans="1:6" ht="34" customHeight="1" x14ac:dyDescent="0.2">
      <c r="A3" s="1">
        <v>0</v>
      </c>
      <c r="B3" s="2">
        <v>18.100000000000001</v>
      </c>
      <c r="C3" s="2">
        <v>19.899999999999999</v>
      </c>
      <c r="D3" s="2">
        <v>18.7</v>
      </c>
      <c r="E3" s="2">
        <v>16.600000000000001</v>
      </c>
      <c r="F3" s="2">
        <v>21</v>
      </c>
    </row>
    <row r="4" spans="1:6" ht="34" customHeight="1" x14ac:dyDescent="0.2">
      <c r="A4" s="1">
        <v>2</v>
      </c>
      <c r="B4" s="2">
        <v>19</v>
      </c>
      <c r="C4" s="2">
        <v>15.9</v>
      </c>
      <c r="D4" s="2">
        <v>17.399999999999999</v>
      </c>
      <c r="E4" s="2">
        <v>14.1</v>
      </c>
      <c r="F4" s="2">
        <v>19.7</v>
      </c>
    </row>
    <row r="5" spans="1:6" ht="34" customHeight="1" x14ac:dyDescent="0.2">
      <c r="A5" s="1">
        <v>3</v>
      </c>
      <c r="B5" s="2">
        <v>19.7</v>
      </c>
      <c r="C5" s="2">
        <v>14.9</v>
      </c>
      <c r="D5" s="2">
        <v>18.600000000000001</v>
      </c>
      <c r="E5" s="2">
        <v>15.2</v>
      </c>
      <c r="F5" s="2">
        <v>20.7</v>
      </c>
    </row>
    <row r="6" spans="1:6" ht="34" customHeight="1" x14ac:dyDescent="0.2">
      <c r="B6" s="3"/>
      <c r="C6" s="3"/>
      <c r="D6" s="3"/>
      <c r="E6" s="3"/>
      <c r="F6" s="3"/>
    </row>
    <row r="7" spans="1:6" ht="34" customHeight="1" x14ac:dyDescent="0.2">
      <c r="A7" s="1" t="s">
        <v>10</v>
      </c>
      <c r="B7" s="1">
        <v>1</v>
      </c>
      <c r="C7" s="1">
        <v>2</v>
      </c>
      <c r="D7" s="1">
        <v>3</v>
      </c>
      <c r="E7" s="1">
        <v>4</v>
      </c>
      <c r="F7" s="1">
        <v>5</v>
      </c>
    </row>
    <row r="8" spans="1:6" ht="34" customHeight="1" x14ac:dyDescent="0.2">
      <c r="A8" s="1">
        <v>0</v>
      </c>
      <c r="B8" s="2">
        <f>100*(B3/$B$3)</f>
        <v>100</v>
      </c>
      <c r="C8" s="2">
        <f>100*(C3/$C$3)</f>
        <v>100</v>
      </c>
      <c r="D8" s="2">
        <f>100*(D3/$D$3)</f>
        <v>100</v>
      </c>
      <c r="E8" s="2">
        <f>100*(E3/$E$3)</f>
        <v>100</v>
      </c>
      <c r="F8" s="2">
        <f>100*(F3/$F$3)</f>
        <v>100</v>
      </c>
    </row>
    <row r="9" spans="1:6" ht="34" customHeight="1" x14ac:dyDescent="0.2">
      <c r="A9" s="1">
        <v>2</v>
      </c>
      <c r="B9" s="2">
        <f t="shared" ref="B9:B10" si="0">100*(B4/$B$3)</f>
        <v>104.97237569060773</v>
      </c>
      <c r="C9" s="2">
        <f t="shared" ref="C9:C10" si="1">100*(C4/$C$3)</f>
        <v>79.899497487437202</v>
      </c>
      <c r="D9" s="2">
        <f t="shared" ref="D9:D10" si="2">100*(D4/$D$3)</f>
        <v>93.048128342245988</v>
      </c>
      <c r="E9" s="2">
        <f t="shared" ref="E9:E10" si="3">100*(E4/$E$3)</f>
        <v>84.939759036144565</v>
      </c>
      <c r="F9" s="2">
        <f t="shared" ref="F9:F10" si="4">100*(F4/$F$3)</f>
        <v>93.80952380952381</v>
      </c>
    </row>
    <row r="10" spans="1:6" ht="34" customHeight="1" x14ac:dyDescent="0.2">
      <c r="A10" s="1">
        <v>3</v>
      </c>
      <c r="B10" s="2">
        <f t="shared" si="0"/>
        <v>108.83977900552483</v>
      </c>
      <c r="C10" s="2">
        <f t="shared" si="1"/>
        <v>74.874371859296488</v>
      </c>
      <c r="D10" s="2">
        <f t="shared" si="2"/>
        <v>99.465240641711233</v>
      </c>
      <c r="E10" s="2">
        <f t="shared" si="3"/>
        <v>91.566265060240951</v>
      </c>
      <c r="F10" s="2">
        <f t="shared" si="4"/>
        <v>98.571428571428569</v>
      </c>
    </row>
    <row r="11" spans="1:6" ht="34" customHeight="1" x14ac:dyDescent="0.2">
      <c r="B11" s="3"/>
      <c r="C11" s="3"/>
      <c r="D11" s="3"/>
      <c r="E11" s="3"/>
      <c r="F11" s="3"/>
    </row>
    <row r="13" spans="1:6" x14ac:dyDescent="0.2">
      <c r="A13" s="1" t="s">
        <v>5</v>
      </c>
      <c r="B13" s="1">
        <v>1</v>
      </c>
      <c r="C13" s="1">
        <v>2</v>
      </c>
      <c r="D13" s="1">
        <v>3</v>
      </c>
      <c r="E13" s="1">
        <v>4</v>
      </c>
      <c r="F13" s="1">
        <v>5</v>
      </c>
    </row>
    <row r="14" spans="1:6" ht="34" customHeight="1" x14ac:dyDescent="0.2">
      <c r="A14" s="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ht="34" customHeight="1" x14ac:dyDescent="0.2">
      <c r="A15" s="1">
        <v>0.5</v>
      </c>
      <c r="B15" s="2"/>
      <c r="C15" s="2"/>
      <c r="D15" s="2"/>
      <c r="E15" s="2"/>
      <c r="F15" s="2"/>
    </row>
    <row r="16" spans="1:6" ht="34" customHeight="1" x14ac:dyDescent="0.2">
      <c r="A16" s="1">
        <v>1</v>
      </c>
      <c r="B16" s="2">
        <v>0</v>
      </c>
      <c r="C16" s="2">
        <v>1</v>
      </c>
      <c r="D16" s="2">
        <v>1</v>
      </c>
      <c r="E16" s="2">
        <v>0</v>
      </c>
      <c r="F16" s="2">
        <v>1</v>
      </c>
    </row>
    <row r="17" spans="1:6" ht="34" customHeight="1" x14ac:dyDescent="0.2">
      <c r="A17" s="1">
        <v>2</v>
      </c>
      <c r="B17" s="2">
        <v>0</v>
      </c>
      <c r="C17" s="2">
        <v>1</v>
      </c>
      <c r="D17" s="2">
        <v>1</v>
      </c>
      <c r="E17" s="2">
        <v>1</v>
      </c>
      <c r="F17" s="2">
        <v>0</v>
      </c>
    </row>
    <row r="18" spans="1:6" ht="34" customHeight="1" x14ac:dyDescent="0.2">
      <c r="A18" s="1">
        <v>3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</row>
  </sheetData>
  <pageMargins left="0.7" right="0.7" top="0.75" bottom="0.75" header="0.3" footer="0.3"/>
  <pageSetup scale="94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B42A-683F-B645-AECE-87DA991AB9A9}">
  <dimension ref="B3:F8"/>
  <sheetViews>
    <sheetView workbookViewId="0">
      <selection activeCell="G10" sqref="G10"/>
    </sheetView>
  </sheetViews>
  <sheetFormatPr baseColWidth="10" defaultRowHeight="16" x14ac:dyDescent="0.2"/>
  <cols>
    <col min="1" max="16384" width="10.83203125" style="1"/>
  </cols>
  <sheetData>
    <row r="3" spans="2:6" x14ac:dyDescent="0.2">
      <c r="B3" s="1" t="s">
        <v>11</v>
      </c>
      <c r="C3" s="1" t="s">
        <v>12</v>
      </c>
      <c r="D3" s="1" t="s">
        <v>13</v>
      </c>
      <c r="E3" s="1" t="s">
        <v>14</v>
      </c>
    </row>
    <row r="4" spans="2:6" x14ac:dyDescent="0.2">
      <c r="B4" s="1" t="s">
        <v>8</v>
      </c>
      <c r="C4" s="1">
        <v>21</v>
      </c>
      <c r="D4" s="1">
        <v>1000</v>
      </c>
      <c r="E4" s="9">
        <f>10*C4*D4</f>
        <v>210000</v>
      </c>
    </row>
    <row r="5" spans="2:6" x14ac:dyDescent="0.2">
      <c r="B5" s="1" t="s">
        <v>7</v>
      </c>
      <c r="C5" s="1">
        <v>4</v>
      </c>
      <c r="D5" s="1">
        <v>1000</v>
      </c>
      <c r="E5" s="9">
        <f>10*C5*D5</f>
        <v>40000</v>
      </c>
    </row>
    <row r="8" spans="2:6" x14ac:dyDescent="0.2">
      <c r="E8" s="9"/>
      <c r="F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Pre-Abx</vt:lpstr>
      <vt:lpstr>Pre-Inf</vt:lpstr>
      <vt:lpstr>Day 0.5</vt:lpstr>
      <vt:lpstr>Day 1</vt:lpstr>
      <vt:lpstr>Day 3</vt:lpstr>
      <vt:lpstr>Biometrics</vt:lpstr>
      <vt:lpstr>Inocula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2021-01-27T15:55:25Z</cp:lastPrinted>
  <dcterms:created xsi:type="dcterms:W3CDTF">2021-01-18T15:25:58Z</dcterms:created>
  <dcterms:modified xsi:type="dcterms:W3CDTF">2021-06-02T22:15:39Z</dcterms:modified>
</cp:coreProperties>
</file>