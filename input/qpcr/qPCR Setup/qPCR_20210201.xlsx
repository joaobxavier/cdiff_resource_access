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/>
  </mc:AlternateContent>
  <xr:revisionPtr revIDLastSave="0" documentId="13_ncr:1_{98B8F77B-3F53-B54E-8F25-0380F2130F49}" xr6:coauthVersionLast="46" xr6:coauthVersionMax="46" xr10:uidLastSave="{00000000-0000-0000-0000-000000000000}"/>
  <bookViews>
    <workbookView xWindow="2040" yWindow="720" windowWidth="25980" windowHeight="23440" activeTab="1" xr2:uid="{82ADB790-9A7B-6849-9E0D-E9F226E86B0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2" l="1"/>
  <c r="D31" i="2"/>
  <c r="F31" i="2" s="1"/>
  <c r="D9" i="1"/>
  <c r="E8" i="1"/>
  <c r="E7" i="1"/>
  <c r="E6" i="1"/>
  <c r="E5" i="1"/>
  <c r="E4" i="1"/>
  <c r="F32" i="2"/>
  <c r="D4" i="1"/>
</calcChain>
</file>

<file path=xl/sharedStrings.xml><?xml version="1.0" encoding="utf-8"?>
<sst xmlns="http://schemas.openxmlformats.org/spreadsheetml/2006/main" count="293" uniqueCount="112">
  <si>
    <t>qPCR mix</t>
  </si>
  <si>
    <t>QuantStudio 6 Flex</t>
  </si>
  <si>
    <t>10 ul rxn</t>
  </si>
  <si>
    <t>Nuclease free water</t>
  </si>
  <si>
    <t>PowerUp SYBR Green Master Mix</t>
  </si>
  <si>
    <t>10 uM forward primer</t>
  </si>
  <si>
    <t>10 uM reverse primer</t>
  </si>
  <si>
    <t>Template DNA</t>
  </si>
  <si>
    <t>384 well plate</t>
  </si>
  <si>
    <t>10ul per rxn</t>
  </si>
  <si>
    <t>qPCR layout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</si>
  <si>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</si>
  <si>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</si>
  <si>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</si>
  <si>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</si>
  <si>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</si>
  <si>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</si>
  <si>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</si>
  <si>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</si>
  <si>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</si>
  <si>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</si>
  <si>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</si>
  <si>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</si>
  <si>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</si>
  <si>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</si>
  <si>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</si>
  <si>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</si>
  <si>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3599_7</t>
  </si>
  <si>
    <t>copy number calculator used</t>
  </si>
  <si>
    <t>http://www.scienceprimer.com/copy-number-calculator-for-realtime-pcr</t>
  </si>
  <si>
    <t>vpi</t>
  </si>
  <si>
    <t>st1-75</t>
  </si>
  <si>
    <t>ST1-75 primers</t>
  </si>
  <si>
    <t>VPI primers</t>
  </si>
  <si>
    <t>504_3</t>
  </si>
  <si>
    <t>147 bp product</t>
  </si>
  <si>
    <t>168 bp product</t>
  </si>
  <si>
    <t>ST1-75 std1</t>
  </si>
  <si>
    <t>ST1-75 std2</t>
  </si>
  <si>
    <t>ST1-75 std3</t>
  </si>
  <si>
    <t>ST1-75 std4</t>
  </si>
  <si>
    <t>ST1-75 std5</t>
  </si>
  <si>
    <t>ST1-75 std6</t>
  </si>
  <si>
    <t>ST1-75 std7</t>
  </si>
  <si>
    <t>ST1-75 std8</t>
  </si>
  <si>
    <t>VPI std1</t>
  </si>
  <si>
    <t>VPI std2</t>
  </si>
  <si>
    <t>VPI std3</t>
  </si>
  <si>
    <t>VPI std4</t>
  </si>
  <si>
    <t>VPI std5</t>
  </si>
  <si>
    <t>VPI std6</t>
  </si>
  <si>
    <t>VPI std7</t>
  </si>
  <si>
    <t>VPI std8</t>
  </si>
  <si>
    <t>ST1-75 NTC</t>
  </si>
  <si>
    <t>VPI NTC</t>
  </si>
  <si>
    <t>200 nM final</t>
  </si>
  <si>
    <t>top std copy #</t>
  </si>
  <si>
    <t>dna conc (ng/ul)</t>
  </si>
  <si>
    <t>top std dilution factor</t>
  </si>
  <si>
    <t>UDG Activation</t>
  </si>
  <si>
    <t>Dual-Lock DNA polymerase</t>
  </si>
  <si>
    <t>Denature</t>
  </si>
  <si>
    <t>Anneal/extend</t>
  </si>
  <si>
    <t>2 minutes</t>
  </si>
  <si>
    <t>1 second</t>
  </si>
  <si>
    <t>30 seconds</t>
  </si>
  <si>
    <t>hold</t>
  </si>
  <si>
    <t>step</t>
  </si>
  <si>
    <t>temp</t>
  </si>
  <si>
    <t>time</t>
  </si>
  <si>
    <t>cycles</t>
  </si>
  <si>
    <t>32 ul master mixes</t>
  </si>
  <si>
    <t>fast mode</t>
  </si>
  <si>
    <t>dissocation curve</t>
  </si>
  <si>
    <t>1.6 C/sec</t>
  </si>
  <si>
    <t>0.15 C/sec</t>
  </si>
  <si>
    <t>15 sec</t>
  </si>
  <si>
    <t>1 min</t>
  </si>
  <si>
    <t>ramp</t>
  </si>
  <si>
    <t>8 ul templates</t>
  </si>
  <si>
    <t>copy # per rxn</t>
  </si>
  <si>
    <t>x 2</t>
  </si>
  <si>
    <t>ks65 pre-Abx 1</t>
  </si>
  <si>
    <t>ks65 pre-Abx 2</t>
  </si>
  <si>
    <t>ks65 pre-Abx 3</t>
  </si>
  <si>
    <t>ks65 pre-Abx 4</t>
  </si>
  <si>
    <t>ks65 pre-Abx 5</t>
  </si>
  <si>
    <t>ks65 pre-Inf 1</t>
  </si>
  <si>
    <t>ks65 pre-Inf 2</t>
  </si>
  <si>
    <t>ks65 pre-Inf 3</t>
  </si>
  <si>
    <t>ks65 pre-Inf 4</t>
  </si>
  <si>
    <t>ks65 pre-Inf 5</t>
  </si>
  <si>
    <t>ks65 D0.5 1</t>
  </si>
  <si>
    <t>ks65 D0.5 2</t>
  </si>
  <si>
    <t>ks65 D0.5 3</t>
  </si>
  <si>
    <t>ks65 D0.5 4</t>
  </si>
  <si>
    <t>ks65 D0.5 5</t>
  </si>
  <si>
    <t>ks65 D1pellet 1</t>
  </si>
  <si>
    <t>ks65 D1pellet 2</t>
  </si>
  <si>
    <t>ks65 D1pellet 3</t>
  </si>
  <si>
    <t>ks65 D1pellet 4</t>
  </si>
  <si>
    <t>ks65 D3 1</t>
  </si>
  <si>
    <t>ks65 D3 3</t>
  </si>
  <si>
    <t>ks65 D3 4</t>
  </si>
  <si>
    <t>ks65 D3 5</t>
  </si>
  <si>
    <t>ks65 D1pbs 1</t>
  </si>
  <si>
    <t>ks65 D1pbs 2</t>
  </si>
  <si>
    <t>ks65 D1pbs 3</t>
  </si>
  <si>
    <t>ks65 D1pbs 4</t>
  </si>
  <si>
    <t>40 conditions x 4 reps</t>
  </si>
  <si>
    <t>stock concentration</t>
  </si>
  <si>
    <t>Primers: ST1-75 - VPI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</si>
</sst>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ienceprimer.com/copy-number-calculator-for-realtime-p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8C51-A00F-3247-8576-E3BDEEEF570E}">
  <sheetPr>
    <pageSetUpPr fitToPage="1"/>
  </sheetPr>
  <dimension ref="A1:F29"/>
  <sheetViews>
    <sheetView workbookViewId="0">
      <selection activeCell="G9" sqref="G9"/>
    </sheetView>
  </sheetViews>
  <sheetFormatPr baseColWidth="10" defaultRowHeight="16" x14ac:dyDescent="0.2"/>
  <cols>
    <col min="1" max="1" width="10.83203125" style="1"/>
    <col min="2" max="2" width="11.5" style="1" bestFit="1" customWidth="1"/>
    <col min="3" max="3" width="32" style="1" bestFit="1" customWidth="1"/>
    <col min="4" max="4" width="10.83203125" style="1"/>
    <col min="5" max="5" width="19" style="1" bestFit="1" customWidth="1"/>
    <col min="6" max="16384" width="10.83203125" style="1"/>
  </cols>
  <sheetData>
    <row r="1" spans="1:5" x14ac:dyDescent="0.2">
      <c r="A1" s="1" t="s">
        <v>0</v>
      </c>
    </row>
    <row r="2" spans="1:5" x14ac:dyDescent="0.2">
      <c r="C2" s="1" t="s">
        <v>1</v>
      </c>
      <c r="E2" s="1" t="s">
        <v>109</v>
      </c>
    </row>
    <row r="3" spans="1:5" x14ac:dyDescent="0.2">
      <c r="C3" s="6"/>
      <c r="D3" s="6" t="s">
        <v>2</v>
      </c>
      <c r="E3" s="6">
        <v>160</v>
      </c>
    </row>
    <row r="4" spans="1:5" x14ac:dyDescent="0.2">
      <c r="C4" s="6" t="s">
        <v>3</v>
      </c>
      <c r="D4" s="6">
        <f>10-SUM(D5:D8)</f>
        <v>2.5999999999999996</v>
      </c>
      <c r="E4" s="6">
        <f>$E$3*D4</f>
        <v>415.99999999999994</v>
      </c>
    </row>
    <row r="5" spans="1:5" x14ac:dyDescent="0.2">
      <c r="C5" s="10" t="s">
        <v>4</v>
      </c>
      <c r="D5" s="6">
        <v>5</v>
      </c>
      <c r="E5" s="6">
        <f>$E$3*D5</f>
        <v>800</v>
      </c>
    </row>
    <row r="6" spans="1:5" x14ac:dyDescent="0.2">
      <c r="B6" s="1" t="s">
        <v>55</v>
      </c>
      <c r="C6" s="6" t="s">
        <v>5</v>
      </c>
      <c r="D6" s="6">
        <v>0.2</v>
      </c>
      <c r="E6" s="6">
        <f>$E$3*D6</f>
        <v>32</v>
      </c>
    </row>
    <row r="7" spans="1:5" x14ac:dyDescent="0.2">
      <c r="B7" s="1" t="s">
        <v>55</v>
      </c>
      <c r="C7" s="6" t="s">
        <v>6</v>
      </c>
      <c r="D7" s="6">
        <v>0.2</v>
      </c>
      <c r="E7" s="6">
        <f>$E$3*D7</f>
        <v>32</v>
      </c>
    </row>
    <row r="8" spans="1:5" x14ac:dyDescent="0.2">
      <c r="C8" s="6" t="s">
        <v>7</v>
      </c>
      <c r="D8" s="6">
        <v>2</v>
      </c>
      <c r="E8" s="6">
        <f>$E$3*D8</f>
        <v>320</v>
      </c>
    </row>
    <row r="9" spans="1:5" x14ac:dyDescent="0.2">
      <c r="D9" s="1">
        <f>SUM(D4:D8)</f>
        <v>10</v>
      </c>
    </row>
    <row r="10" spans="1:5" x14ac:dyDescent="0.2">
      <c r="E10" s="1" t="s">
        <v>81</v>
      </c>
    </row>
    <row r="11" spans="1:5" x14ac:dyDescent="0.2">
      <c r="E11" s="1" t="s">
        <v>71</v>
      </c>
    </row>
    <row r="12" spans="1:5" x14ac:dyDescent="0.2">
      <c r="E12" s="1" t="s">
        <v>79</v>
      </c>
    </row>
    <row r="15" spans="1:5" x14ac:dyDescent="0.2">
      <c r="C15" s="1" t="s">
        <v>8</v>
      </c>
    </row>
    <row r="16" spans="1:5" x14ac:dyDescent="0.2">
      <c r="C16" s="1" t="s">
        <v>9</v>
      </c>
    </row>
    <row r="18" spans="3:6" x14ac:dyDescent="0.2">
      <c r="C18" s="1" t="s">
        <v>72</v>
      </c>
    </row>
    <row r="19" spans="3:6" x14ac:dyDescent="0.2">
      <c r="C19" s="2" t="s">
        <v>67</v>
      </c>
      <c r="D19" s="2" t="s">
        <v>68</v>
      </c>
      <c r="E19" s="2" t="s">
        <v>69</v>
      </c>
      <c r="F19" s="2" t="s">
        <v>70</v>
      </c>
    </row>
    <row r="20" spans="3:6" x14ac:dyDescent="0.2">
      <c r="C20" s="2" t="s">
        <v>59</v>
      </c>
      <c r="D20" s="2">
        <v>50</v>
      </c>
      <c r="E20" s="2" t="s">
        <v>63</v>
      </c>
      <c r="F20" s="2" t="s">
        <v>66</v>
      </c>
    </row>
    <row r="21" spans="3:6" x14ac:dyDescent="0.2">
      <c r="C21" s="2" t="s">
        <v>60</v>
      </c>
      <c r="D21" s="2">
        <v>95</v>
      </c>
      <c r="E21" s="2" t="s">
        <v>63</v>
      </c>
      <c r="F21" s="2" t="s">
        <v>66</v>
      </c>
    </row>
    <row r="22" spans="3:6" x14ac:dyDescent="0.2">
      <c r="C22" s="2" t="s">
        <v>61</v>
      </c>
      <c r="D22" s="2">
        <v>95</v>
      </c>
      <c r="E22" s="2" t="s">
        <v>64</v>
      </c>
      <c r="F22" s="11">
        <v>40</v>
      </c>
    </row>
    <row r="23" spans="3:6" x14ac:dyDescent="0.2">
      <c r="C23" s="2" t="s">
        <v>62</v>
      </c>
      <c r="D23" s="2">
        <v>60</v>
      </c>
      <c r="E23" s="2" t="s">
        <v>65</v>
      </c>
      <c r="F23" s="11"/>
    </row>
    <row r="25" spans="3:6" x14ac:dyDescent="0.2">
      <c r="C25" s="1" t="s">
        <v>73</v>
      </c>
    </row>
    <row r="26" spans="3:6" x14ac:dyDescent="0.2">
      <c r="C26" s="5" t="s">
        <v>67</v>
      </c>
      <c r="D26" s="2" t="s">
        <v>78</v>
      </c>
      <c r="E26" s="2" t="s">
        <v>68</v>
      </c>
      <c r="F26" s="2" t="s">
        <v>69</v>
      </c>
    </row>
    <row r="27" spans="3:6" x14ac:dyDescent="0.2">
      <c r="C27" s="2">
        <v>1</v>
      </c>
      <c r="D27" s="2" t="s">
        <v>74</v>
      </c>
      <c r="E27" s="2">
        <v>95</v>
      </c>
      <c r="F27" s="2" t="s">
        <v>76</v>
      </c>
    </row>
    <row r="28" spans="3:6" x14ac:dyDescent="0.2">
      <c r="C28" s="2">
        <v>2</v>
      </c>
      <c r="D28" s="2" t="s">
        <v>74</v>
      </c>
      <c r="E28" s="2">
        <v>60</v>
      </c>
      <c r="F28" s="2" t="s">
        <v>77</v>
      </c>
    </row>
    <row r="29" spans="3:6" x14ac:dyDescent="0.2">
      <c r="C29" s="2">
        <v>3</v>
      </c>
      <c r="D29" s="2" t="s">
        <v>75</v>
      </c>
      <c r="E29" s="2">
        <v>95</v>
      </c>
      <c r="F29" s="2" t="s">
        <v>76</v>
      </c>
    </row>
  </sheetData>
  <mergeCells count="1">
    <mergeCell ref="F22:F23"/>
  </mergeCells>
  <pageMargins left="0.7" right="0.7" top="0.75" bottom="0.75" header="0.3" footer="0.3"/>
  <pageSetup scale="8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3096-89B0-EE4E-BBA9-6BD0E796BFCD}">
  <sheetPr>
    <pageSetUpPr fitToPage="1"/>
  </sheetPr>
  <dimension ref="A1:Z41"/>
  <sheetViews>
    <sheetView tabSelected="1" workbookViewId="0">
      <selection activeCell="J32" sqref="J32"/>
    </sheetView>
  </sheetViews>
  <sheetFormatPr baseColWidth="10" defaultRowHeight="16" x14ac:dyDescent="0.2"/>
  <cols>
    <col min="1" max="2" width="10.83203125" style="1"/>
    <col min="3" max="3" width="20.83203125" style="1" bestFit="1" customWidth="1"/>
    <col min="4" max="4" width="14.83203125" style="1" bestFit="1" customWidth="1"/>
    <col min="5" max="5" width="19" style="1" bestFit="1" customWidth="1"/>
    <col min="6" max="7" width="14.83203125" style="1" bestFit="1" customWidth="1"/>
    <col min="8" max="12" width="13.83203125" style="1" bestFit="1" customWidth="1"/>
    <col min="13" max="17" width="12" style="1" bestFit="1" customWidth="1"/>
    <col min="18" max="21" width="15.5" style="1" bestFit="1" customWidth="1"/>
    <col min="22" max="25" width="10.1640625" style="1" bestFit="1" customWidth="1"/>
    <col min="26" max="26" width="8.6640625" style="1" bestFit="1" customWidth="1"/>
    <col min="27" max="16384" width="10.83203125" style="1"/>
  </cols>
  <sheetData>
    <row r="1" spans="1:26" x14ac:dyDescent="0.2">
      <c r="A1" s="1" t="s">
        <v>10</v>
      </c>
    </row>
    <row r="2" spans="1:26" x14ac:dyDescent="0.2">
      <c r="C2" s="1" t="s">
        <v>32</v>
      </c>
      <c r="D2" s="1" t="s">
        <v>27</v>
      </c>
      <c r="E2" s="1" t="s">
        <v>35</v>
      </c>
    </row>
    <row r="3" spans="1:26" x14ac:dyDescent="0.2">
      <c r="C3" s="1" t="s">
        <v>33</v>
      </c>
      <c r="D3" s="1" t="s">
        <v>34</v>
      </c>
      <c r="E3" s="1" t="s">
        <v>36</v>
      </c>
    </row>
    <row r="4" spans="1:26" x14ac:dyDescent="0.2"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</row>
    <row r="5" spans="1:26" ht="34" customHeight="1" x14ac:dyDescent="0.2">
      <c r="B5" s="1" t="s">
        <v>11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 t="s">
        <v>42</v>
      </c>
      <c r="I5" s="8" t="s">
        <v>43</v>
      </c>
      <c r="J5" s="8" t="s">
        <v>44</v>
      </c>
      <c r="K5" s="8" t="s">
        <v>53</v>
      </c>
      <c r="L5" s="8"/>
      <c r="M5" s="8"/>
      <c r="N5" s="8"/>
      <c r="O5" s="8"/>
      <c r="P5" s="8"/>
      <c r="Q5" s="8"/>
      <c r="R5" s="8" t="s">
        <v>45</v>
      </c>
      <c r="S5" s="8" t="s">
        <v>46</v>
      </c>
      <c r="T5" s="8" t="s">
        <v>47</v>
      </c>
      <c r="U5" s="8" t="s">
        <v>48</v>
      </c>
      <c r="V5" s="8" t="s">
        <v>49</v>
      </c>
      <c r="W5" s="8" t="s">
        <v>50</v>
      </c>
      <c r="X5" s="8" t="s">
        <v>51</v>
      </c>
      <c r="Y5" s="8" t="s">
        <v>52</v>
      </c>
      <c r="Z5" s="8" t="s">
        <v>54</v>
      </c>
    </row>
    <row r="6" spans="1:26" ht="34" customHeight="1" x14ac:dyDescent="0.2">
      <c r="B6" s="1" t="s">
        <v>12</v>
      </c>
      <c r="C6" s="8" t="s">
        <v>37</v>
      </c>
      <c r="D6" s="8" t="s">
        <v>38</v>
      </c>
      <c r="E6" s="8" t="s">
        <v>39</v>
      </c>
      <c r="F6" s="8" t="s">
        <v>40</v>
      </c>
      <c r="G6" s="8" t="s">
        <v>41</v>
      </c>
      <c r="H6" s="8" t="s">
        <v>42</v>
      </c>
      <c r="I6" s="8" t="s">
        <v>43</v>
      </c>
      <c r="J6" s="8" t="s">
        <v>44</v>
      </c>
      <c r="K6" s="8" t="s">
        <v>53</v>
      </c>
      <c r="L6" s="8"/>
      <c r="M6" s="8"/>
      <c r="N6" s="8"/>
      <c r="O6" s="8"/>
      <c r="P6" s="8"/>
      <c r="Q6" s="8"/>
      <c r="R6" s="8" t="s">
        <v>45</v>
      </c>
      <c r="S6" s="8" t="s">
        <v>46</v>
      </c>
      <c r="T6" s="8" t="s">
        <v>47</v>
      </c>
      <c r="U6" s="8" t="s">
        <v>48</v>
      </c>
      <c r="V6" s="8" t="s">
        <v>49</v>
      </c>
      <c r="W6" s="8" t="s">
        <v>50</v>
      </c>
      <c r="X6" s="8" t="s">
        <v>51</v>
      </c>
      <c r="Y6" s="8" t="s">
        <v>52</v>
      </c>
      <c r="Z6" s="8" t="s">
        <v>54</v>
      </c>
    </row>
    <row r="7" spans="1:26" ht="34" customHeight="1" x14ac:dyDescent="0.2">
      <c r="B7" s="1" t="s">
        <v>13</v>
      </c>
      <c r="C7" s="8" t="s">
        <v>37</v>
      </c>
      <c r="D7" s="8" t="s">
        <v>38</v>
      </c>
      <c r="E7" s="8" t="s">
        <v>39</v>
      </c>
      <c r="F7" s="8" t="s">
        <v>40</v>
      </c>
      <c r="G7" s="8" t="s">
        <v>41</v>
      </c>
      <c r="H7" s="8" t="s">
        <v>42</v>
      </c>
      <c r="I7" s="8" t="s">
        <v>43</v>
      </c>
      <c r="J7" s="8" t="s">
        <v>44</v>
      </c>
      <c r="K7" s="8" t="s">
        <v>53</v>
      </c>
      <c r="L7" s="8"/>
      <c r="M7" s="8"/>
      <c r="N7" s="8"/>
      <c r="O7" s="8"/>
      <c r="P7" s="8"/>
      <c r="Q7" s="8"/>
      <c r="R7" s="8" t="s">
        <v>45</v>
      </c>
      <c r="S7" s="8" t="s">
        <v>46</v>
      </c>
      <c r="T7" s="8" t="s">
        <v>47</v>
      </c>
      <c r="U7" s="8" t="s">
        <v>48</v>
      </c>
      <c r="V7" s="8" t="s">
        <v>49</v>
      </c>
      <c r="W7" s="8" t="s">
        <v>50</v>
      </c>
      <c r="X7" s="8" t="s">
        <v>51</v>
      </c>
      <c r="Y7" s="8" t="s">
        <v>52</v>
      </c>
      <c r="Z7" s="8" t="s">
        <v>54</v>
      </c>
    </row>
    <row r="8" spans="1:26" ht="34" customHeight="1" x14ac:dyDescent="0.2">
      <c r="B8" s="1" t="s">
        <v>14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34" customHeight="1" x14ac:dyDescent="0.2">
      <c r="A9" s="12" t="s">
        <v>32</v>
      </c>
      <c r="B9" s="1" t="s">
        <v>15</v>
      </c>
      <c r="C9" s="8" t="s">
        <v>82</v>
      </c>
      <c r="D9" s="8" t="s">
        <v>83</v>
      </c>
      <c r="E9" s="8" t="s">
        <v>84</v>
      </c>
      <c r="F9" s="8" t="s">
        <v>85</v>
      </c>
      <c r="G9" s="8" t="s">
        <v>86</v>
      </c>
      <c r="H9" s="8" t="s">
        <v>87</v>
      </c>
      <c r="I9" s="8" t="s">
        <v>88</v>
      </c>
      <c r="J9" s="8" t="s">
        <v>89</v>
      </c>
      <c r="K9" s="8" t="s">
        <v>90</v>
      </c>
      <c r="L9" s="8" t="s">
        <v>91</v>
      </c>
      <c r="M9" s="8" t="s">
        <v>92</v>
      </c>
      <c r="N9" s="8" t="s">
        <v>93</v>
      </c>
      <c r="O9" s="8" t="s">
        <v>94</v>
      </c>
      <c r="P9" s="8" t="s">
        <v>95</v>
      </c>
      <c r="Q9" s="8" t="s">
        <v>96</v>
      </c>
      <c r="R9" s="8" t="s">
        <v>97</v>
      </c>
      <c r="S9" s="8" t="s">
        <v>98</v>
      </c>
      <c r="T9" s="8" t="s">
        <v>99</v>
      </c>
      <c r="U9" s="8" t="s">
        <v>100</v>
      </c>
      <c r="V9" s="8" t="s">
        <v>101</v>
      </c>
      <c r="W9" s="8" t="s">
        <v>102</v>
      </c>
      <c r="X9" s="8" t="s">
        <v>103</v>
      </c>
      <c r="Y9" s="8" t="s">
        <v>104</v>
      </c>
      <c r="Z9" s="8"/>
    </row>
    <row r="10" spans="1:26" ht="34" customHeight="1" x14ac:dyDescent="0.2">
      <c r="A10" s="12"/>
      <c r="B10" s="1" t="s">
        <v>16</v>
      </c>
      <c r="C10" s="8" t="s">
        <v>82</v>
      </c>
      <c r="D10" s="8" t="s">
        <v>83</v>
      </c>
      <c r="E10" s="8" t="s">
        <v>84</v>
      </c>
      <c r="F10" s="8" t="s">
        <v>85</v>
      </c>
      <c r="G10" s="8" t="s">
        <v>86</v>
      </c>
      <c r="H10" s="8" t="s">
        <v>87</v>
      </c>
      <c r="I10" s="8" t="s">
        <v>88</v>
      </c>
      <c r="J10" s="8" t="s">
        <v>89</v>
      </c>
      <c r="K10" s="8" t="s">
        <v>90</v>
      </c>
      <c r="L10" s="8" t="s">
        <v>91</v>
      </c>
      <c r="M10" s="8" t="s">
        <v>92</v>
      </c>
      <c r="N10" s="8" t="s">
        <v>93</v>
      </c>
      <c r="O10" s="8" t="s">
        <v>94</v>
      </c>
      <c r="P10" s="8" t="s">
        <v>95</v>
      </c>
      <c r="Q10" s="8" t="s">
        <v>96</v>
      </c>
      <c r="R10" s="8" t="s">
        <v>97</v>
      </c>
      <c r="S10" s="8" t="s">
        <v>98</v>
      </c>
      <c r="T10" s="8" t="s">
        <v>99</v>
      </c>
      <c r="U10" s="8" t="s">
        <v>100</v>
      </c>
      <c r="V10" s="8" t="s">
        <v>101</v>
      </c>
      <c r="W10" s="8" t="s">
        <v>102</v>
      </c>
      <c r="X10" s="8" t="s">
        <v>103</v>
      </c>
      <c r="Y10" s="8" t="s">
        <v>104</v>
      </c>
      <c r="Z10" s="8"/>
    </row>
    <row r="11" spans="1:26" ht="34" customHeight="1" x14ac:dyDescent="0.2">
      <c r="A11" s="12"/>
      <c r="B11" s="1" t="s">
        <v>17</v>
      </c>
      <c r="C11" s="8" t="s">
        <v>82</v>
      </c>
      <c r="D11" s="8" t="s">
        <v>83</v>
      </c>
      <c r="E11" s="8" t="s">
        <v>84</v>
      </c>
      <c r="F11" s="8" t="s">
        <v>85</v>
      </c>
      <c r="G11" s="8" t="s">
        <v>86</v>
      </c>
      <c r="H11" s="8" t="s">
        <v>87</v>
      </c>
      <c r="I11" s="8" t="s">
        <v>88</v>
      </c>
      <c r="J11" s="8" t="s">
        <v>89</v>
      </c>
      <c r="K11" s="8" t="s">
        <v>90</v>
      </c>
      <c r="L11" s="8" t="s">
        <v>91</v>
      </c>
      <c r="M11" s="8" t="s">
        <v>92</v>
      </c>
      <c r="N11" s="8" t="s">
        <v>93</v>
      </c>
      <c r="O11" s="8" t="s">
        <v>94</v>
      </c>
      <c r="P11" s="8" t="s">
        <v>95</v>
      </c>
      <c r="Q11" s="8" t="s">
        <v>96</v>
      </c>
      <c r="R11" s="8" t="s">
        <v>97</v>
      </c>
      <c r="S11" s="8" t="s">
        <v>98</v>
      </c>
      <c r="T11" s="8" t="s">
        <v>99</v>
      </c>
      <c r="U11" s="8" t="s">
        <v>100</v>
      </c>
      <c r="V11" s="8" t="s">
        <v>101</v>
      </c>
      <c r="W11" s="8" t="s">
        <v>102</v>
      </c>
      <c r="X11" s="8" t="s">
        <v>103</v>
      </c>
      <c r="Y11" s="8" t="s">
        <v>104</v>
      </c>
      <c r="Z11" s="8"/>
    </row>
    <row r="12" spans="1:26" ht="34" customHeight="1" x14ac:dyDescent="0.2">
      <c r="B12" s="1" t="s">
        <v>18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34" customHeight="1" x14ac:dyDescent="0.2">
      <c r="A13" s="12" t="s">
        <v>33</v>
      </c>
      <c r="B13" s="1" t="s">
        <v>19</v>
      </c>
      <c r="C13" s="8" t="s">
        <v>82</v>
      </c>
      <c r="D13" s="8" t="s">
        <v>83</v>
      </c>
      <c r="E13" s="8" t="s">
        <v>84</v>
      </c>
      <c r="F13" s="8" t="s">
        <v>85</v>
      </c>
      <c r="G13" s="8" t="s">
        <v>86</v>
      </c>
      <c r="H13" s="8" t="s">
        <v>87</v>
      </c>
      <c r="I13" s="8" t="s">
        <v>88</v>
      </c>
      <c r="J13" s="8" t="s">
        <v>89</v>
      </c>
      <c r="K13" s="8" t="s">
        <v>90</v>
      </c>
      <c r="L13" s="8" t="s">
        <v>91</v>
      </c>
      <c r="M13" s="8" t="s">
        <v>92</v>
      </c>
      <c r="N13" s="8" t="s">
        <v>93</v>
      </c>
      <c r="O13" s="8" t="s">
        <v>94</v>
      </c>
      <c r="P13" s="8" t="s">
        <v>95</v>
      </c>
      <c r="Q13" s="8" t="s">
        <v>96</v>
      </c>
      <c r="R13" s="8" t="s">
        <v>97</v>
      </c>
      <c r="S13" s="8" t="s">
        <v>98</v>
      </c>
      <c r="T13" s="8" t="s">
        <v>99</v>
      </c>
      <c r="U13" s="8" t="s">
        <v>100</v>
      </c>
      <c r="V13" s="8" t="s">
        <v>101</v>
      </c>
      <c r="W13" s="8" t="s">
        <v>102</v>
      </c>
      <c r="X13" s="8" t="s">
        <v>103</v>
      </c>
      <c r="Y13" s="8" t="s">
        <v>104</v>
      </c>
      <c r="Z13" s="8"/>
    </row>
    <row r="14" spans="1:26" ht="34" customHeight="1" x14ac:dyDescent="0.2">
      <c r="A14" s="12"/>
      <c r="B14" s="1" t="s">
        <v>20</v>
      </c>
      <c r="C14" s="8" t="s">
        <v>82</v>
      </c>
      <c r="D14" s="8" t="s">
        <v>83</v>
      </c>
      <c r="E14" s="8" t="s">
        <v>84</v>
      </c>
      <c r="F14" s="8" t="s">
        <v>85</v>
      </c>
      <c r="G14" s="8" t="s">
        <v>86</v>
      </c>
      <c r="H14" s="8" t="s">
        <v>87</v>
      </c>
      <c r="I14" s="8" t="s">
        <v>88</v>
      </c>
      <c r="J14" s="8" t="s">
        <v>89</v>
      </c>
      <c r="K14" s="8" t="s">
        <v>90</v>
      </c>
      <c r="L14" s="8" t="s">
        <v>91</v>
      </c>
      <c r="M14" s="8" t="s">
        <v>92</v>
      </c>
      <c r="N14" s="8" t="s">
        <v>93</v>
      </c>
      <c r="O14" s="8" t="s">
        <v>94</v>
      </c>
      <c r="P14" s="8" t="s">
        <v>95</v>
      </c>
      <c r="Q14" s="8" t="s">
        <v>96</v>
      </c>
      <c r="R14" s="8" t="s">
        <v>97</v>
      </c>
      <c r="S14" s="8" t="s">
        <v>98</v>
      </c>
      <c r="T14" s="8" t="s">
        <v>99</v>
      </c>
      <c r="U14" s="8" t="s">
        <v>100</v>
      </c>
      <c r="V14" s="8" t="s">
        <v>101</v>
      </c>
      <c r="W14" s="8" t="s">
        <v>102</v>
      </c>
      <c r="X14" s="8" t="s">
        <v>103</v>
      </c>
      <c r="Y14" s="8" t="s">
        <v>104</v>
      </c>
      <c r="Z14" s="8"/>
    </row>
    <row r="15" spans="1:26" ht="34" customHeight="1" x14ac:dyDescent="0.2">
      <c r="A15" s="12"/>
      <c r="B15" s="1" t="s">
        <v>21</v>
      </c>
      <c r="C15" s="8" t="s">
        <v>82</v>
      </c>
      <c r="D15" s="8" t="s">
        <v>83</v>
      </c>
      <c r="E15" s="8" t="s">
        <v>84</v>
      </c>
      <c r="F15" s="8" t="s">
        <v>85</v>
      </c>
      <c r="G15" s="8" t="s">
        <v>86</v>
      </c>
      <c r="H15" s="8" t="s">
        <v>87</v>
      </c>
      <c r="I15" s="8" t="s">
        <v>88</v>
      </c>
      <c r="J15" s="8" t="s">
        <v>89</v>
      </c>
      <c r="K15" s="8" t="s">
        <v>90</v>
      </c>
      <c r="L15" s="8" t="s">
        <v>91</v>
      </c>
      <c r="M15" s="8" t="s">
        <v>92</v>
      </c>
      <c r="N15" s="8" t="s">
        <v>93</v>
      </c>
      <c r="O15" s="8" t="s">
        <v>94</v>
      </c>
      <c r="P15" s="8" t="s">
        <v>95</v>
      </c>
      <c r="Q15" s="8" t="s">
        <v>96</v>
      </c>
      <c r="R15" s="8" t="s">
        <v>97</v>
      </c>
      <c r="S15" s="8" t="s">
        <v>98</v>
      </c>
      <c r="T15" s="8" t="s">
        <v>99</v>
      </c>
      <c r="U15" s="8" t="s">
        <v>100</v>
      </c>
      <c r="V15" s="8" t="s">
        <v>101</v>
      </c>
      <c r="W15" s="8" t="s">
        <v>102</v>
      </c>
      <c r="X15" s="8" t="s">
        <v>103</v>
      </c>
      <c r="Y15" s="8" t="s">
        <v>104</v>
      </c>
      <c r="Z15" s="8"/>
    </row>
    <row r="16" spans="1:26" ht="34" customHeight="1" x14ac:dyDescent="0.2">
      <c r="B16" s="1" t="s">
        <v>22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8"/>
      <c r="U16" s="9"/>
      <c r="V16" s="9"/>
      <c r="W16" s="9"/>
      <c r="X16" s="8"/>
      <c r="Y16" s="8"/>
      <c r="Z16" s="8"/>
    </row>
    <row r="17" spans="1:26" ht="34" customHeight="1" x14ac:dyDescent="0.2">
      <c r="B17" s="1" t="s">
        <v>23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34" customHeight="1" x14ac:dyDescent="0.2">
      <c r="A18" s="12" t="s">
        <v>111</v>
      </c>
      <c r="B18" s="1" t="s">
        <v>24</v>
      </c>
      <c r="C18" s="9" t="s">
        <v>105</v>
      </c>
      <c r="D18" s="9" t="s">
        <v>106</v>
      </c>
      <c r="E18" s="9" t="s">
        <v>107</v>
      </c>
      <c r="F18" s="9" t="s">
        <v>108</v>
      </c>
      <c r="G18" s="9"/>
      <c r="H18" s="9" t="s">
        <v>105</v>
      </c>
      <c r="I18" s="9" t="s">
        <v>106</v>
      </c>
      <c r="J18" s="9" t="s">
        <v>107</v>
      </c>
      <c r="K18" s="9" t="s">
        <v>108</v>
      </c>
      <c r="L18" s="9"/>
      <c r="M18" s="9"/>
      <c r="N18" s="9"/>
      <c r="O18" s="9"/>
      <c r="P18" s="9"/>
      <c r="Q18" s="9"/>
      <c r="R18" s="9"/>
      <c r="S18" s="9"/>
      <c r="T18" s="8"/>
      <c r="U18" s="9"/>
      <c r="V18" s="9"/>
      <c r="W18" s="9"/>
      <c r="X18" s="8"/>
      <c r="Y18" s="8"/>
      <c r="Z18" s="8"/>
    </row>
    <row r="19" spans="1:26" ht="34" customHeight="1" x14ac:dyDescent="0.2">
      <c r="A19" s="12"/>
      <c r="B19" s="1" t="s">
        <v>25</v>
      </c>
      <c r="C19" s="9" t="s">
        <v>105</v>
      </c>
      <c r="D19" s="9" t="s">
        <v>106</v>
      </c>
      <c r="E19" s="9" t="s">
        <v>107</v>
      </c>
      <c r="F19" s="9" t="s">
        <v>108</v>
      </c>
      <c r="G19" s="9"/>
      <c r="H19" s="9" t="s">
        <v>105</v>
      </c>
      <c r="I19" s="9" t="s">
        <v>106</v>
      </c>
      <c r="J19" s="9" t="s">
        <v>107</v>
      </c>
      <c r="K19" s="9" t="s">
        <v>108</v>
      </c>
      <c r="L19" s="9"/>
      <c r="M19" s="9"/>
      <c r="N19" s="9"/>
      <c r="O19" s="9"/>
      <c r="P19" s="9"/>
      <c r="Q19" s="9"/>
      <c r="R19" s="9"/>
      <c r="S19" s="9"/>
      <c r="T19" s="8"/>
      <c r="U19" s="9"/>
      <c r="V19" s="9"/>
      <c r="W19" s="9"/>
      <c r="X19" s="8"/>
      <c r="Y19" s="8"/>
      <c r="Z19" s="8"/>
    </row>
    <row r="20" spans="1:26" ht="34" customHeight="1" x14ac:dyDescent="0.2">
      <c r="A20" s="12"/>
      <c r="B20" s="1" t="s">
        <v>26</v>
      </c>
      <c r="C20" s="9" t="s">
        <v>105</v>
      </c>
      <c r="D20" s="9" t="s">
        <v>106</v>
      </c>
      <c r="E20" s="9" t="s">
        <v>107</v>
      </c>
      <c r="F20" s="9" t="s">
        <v>108</v>
      </c>
      <c r="G20" s="9"/>
      <c r="H20" s="9" t="s">
        <v>105</v>
      </c>
      <c r="I20" s="9" t="s">
        <v>106</v>
      </c>
      <c r="J20" s="9" t="s">
        <v>107</v>
      </c>
      <c r="K20" s="9" t="s">
        <v>108</v>
      </c>
      <c r="L20" s="9"/>
      <c r="M20" s="9"/>
      <c r="N20" s="9"/>
      <c r="O20" s="9"/>
      <c r="P20" s="9"/>
      <c r="Q20" s="9"/>
      <c r="R20" s="9"/>
      <c r="S20" s="9"/>
      <c r="T20" s="8"/>
      <c r="U20" s="9"/>
      <c r="V20" s="9"/>
      <c r="W20" s="9"/>
      <c r="X20" s="8"/>
      <c r="Y20" s="8"/>
      <c r="Z20" s="8"/>
    </row>
    <row r="22" spans="1:26" x14ac:dyDescent="0.2">
      <c r="C22" s="4"/>
    </row>
    <row r="23" spans="1:26" x14ac:dyDescent="0.2">
      <c r="C23" s="4"/>
    </row>
    <row r="24" spans="1:26" x14ac:dyDescent="0.2">
      <c r="C24" s="4"/>
    </row>
    <row r="27" spans="1:26" ht="68" x14ac:dyDescent="0.2">
      <c r="B27" s="7" t="s">
        <v>28</v>
      </c>
      <c r="C27" s="3" t="s">
        <v>29</v>
      </c>
    </row>
    <row r="30" spans="1:26" x14ac:dyDescent="0.2">
      <c r="C30" s="1" t="s">
        <v>57</v>
      </c>
      <c r="D30" s="1" t="s">
        <v>80</v>
      </c>
      <c r="E30" s="1" t="s">
        <v>58</v>
      </c>
      <c r="F30" s="1" t="s">
        <v>56</v>
      </c>
    </row>
    <row r="31" spans="1:26" x14ac:dyDescent="0.2">
      <c r="B31" s="1" t="s">
        <v>30</v>
      </c>
      <c r="C31" s="13">
        <v>0.92499999999999993</v>
      </c>
      <c r="D31" s="1">
        <f>2*(5024000000)</f>
        <v>10048000000</v>
      </c>
      <c r="E31" s="1">
        <v>10</v>
      </c>
      <c r="F31" s="1">
        <f>D31/10</f>
        <v>1004800000</v>
      </c>
    </row>
    <row r="32" spans="1:26" x14ac:dyDescent="0.2">
      <c r="B32" s="1" t="s">
        <v>31</v>
      </c>
      <c r="C32" s="1">
        <v>1.0205000000000002</v>
      </c>
      <c r="D32" s="1">
        <f>2*(6334000000)</f>
        <v>12668000000</v>
      </c>
      <c r="E32" s="1">
        <v>10</v>
      </c>
      <c r="F32" s="1">
        <f>D32/10</f>
        <v>1266800000</v>
      </c>
    </row>
    <row r="33" spans="3:11" x14ac:dyDescent="0.2">
      <c r="C33" s="1" t="s">
        <v>110</v>
      </c>
    </row>
    <row r="36" spans="3:11" x14ac:dyDescent="0.2">
      <c r="I36" s="13"/>
      <c r="J36" s="13"/>
      <c r="K36" s="13"/>
    </row>
    <row r="37" spans="3:11" x14ac:dyDescent="0.2">
      <c r="I37" s="13"/>
      <c r="J37" s="13"/>
      <c r="K37" s="13"/>
    </row>
    <row r="38" spans="3:11" x14ac:dyDescent="0.2">
      <c r="I38" s="13"/>
      <c r="J38" s="13"/>
      <c r="K38" s="13"/>
    </row>
    <row r="39" spans="3:11" x14ac:dyDescent="0.2">
      <c r="I39" s="13"/>
      <c r="J39" s="13"/>
      <c r="K39" s="13"/>
    </row>
    <row r="40" spans="3:11" x14ac:dyDescent="0.2">
      <c r="I40" s="13"/>
      <c r="J40" s="13"/>
      <c r="K40" s="13"/>
    </row>
    <row r="41" spans="3:11" x14ac:dyDescent="0.2">
      <c r="I41" s="13"/>
      <c r="J41" s="13"/>
      <c r="K41" s="13"/>
    </row>
  </sheetData>
  <mergeCells count="3">
    <mergeCell ref="A18:A20"/>
    <mergeCell ref="A9:A11"/>
    <mergeCell ref="A13:A15"/>
  </mergeCells>
  <phoneticPr fontId="2" type="noConversion"/>
  <hyperlinks>
    <hyperlink ref="C27" r:id="rId1" xr:uid="{0E3DA4C7-14CF-2746-904B-F5B6F9F86F0A}"/>
  </hyperlinks>
  <pageMargins left="0.7" right="0.7" top="0.75" bottom="0.75" header="0.3" footer="0.3"/>
  <pageSetup scale="3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2021-02-01T15:21:50Z</cp:lastPrinted>
  <dcterms:created xsi:type="dcterms:W3CDTF">2021-01-18T18:17:29Z</dcterms:created>
  <dcterms:modified xsi:type="dcterms:W3CDTF">2021-02-01T16:13:43Z</dcterms:modified>
</cp:coreProperties>
</file>